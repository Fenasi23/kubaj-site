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lif\Desktop\Dashway Templates for Someka\S923_Weekly KPI Report Excel Template\"/>
    </mc:Choice>
  </mc:AlternateContent>
  <xr:revisionPtr revIDLastSave="0" documentId="13_ncr:1_{CC4D51DC-91A3-4226-9F2B-B5FE583612C6}" xr6:coauthVersionLast="47" xr6:coauthVersionMax="47" xr10:uidLastSave="{00000000-0000-0000-0000-000000000000}"/>
  <workbookProtection workbookAlgorithmName="SHA-512" workbookHashValue="GNZ64QiPx4Fyszt+m7y3tM6uUnJG7kxzz4Cljj23uVFVi1Ut3TpAgefcx6hkBk2a56DHbuiZ8G0kHBYa8ujU+w==" workbookSaltValue="rVU1eVB//ywOOdohbUV2xg==" workbookSpinCount="100000" lockStructure="1"/>
  <bookViews>
    <workbookView showSheetTabs="0" xWindow="-120" yWindow="-120" windowWidth="29040" windowHeight="15720" xr2:uid="{ED71A43E-0A72-415D-95C8-D61AA3BF602A}"/>
  </bookViews>
  <sheets>
    <sheet name="Menu" sheetId="2" r:id="rId1"/>
    <sheet name="Report" sheetId="4" r:id="rId2"/>
    <sheet name="ToU" sheetId="5" r:id="rId3"/>
    <sheet name="Calc" sheetId="3" state="hidden" r:id="rId4"/>
  </sheets>
  <definedNames>
    <definedName name="_xlnm.Print_Area" localSheetId="0">Menu!$B$2:$H$23</definedName>
    <definedName name="_xlnm.Print_Area" localSheetId="1">Report!$B$2:$AH$61</definedName>
    <definedName name="_xlnm.Print_Area" localSheetId="2">ToU!$B$2:$B$17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3" l="1"/>
  <c r="T9" i="3"/>
  <c r="S10" i="3"/>
  <c r="T10" i="3"/>
  <c r="S11" i="3"/>
  <c r="T11" i="3"/>
  <c r="S12" i="3"/>
  <c r="T12" i="3"/>
  <c r="S13" i="3"/>
  <c r="T13" i="3"/>
  <c r="S14" i="3"/>
  <c r="T14" i="3"/>
  <c r="S15" i="3"/>
  <c r="T15" i="3"/>
  <c r="S16" i="3"/>
  <c r="T16" i="3"/>
  <c r="T8" i="3"/>
  <c r="S8" i="3"/>
  <c r="R9" i="3" l="1"/>
  <c r="R10" i="3" s="1"/>
  <c r="R11" i="3" s="1"/>
  <c r="R12" i="3" s="1"/>
  <c r="R13" i="3" s="1"/>
  <c r="R14" i="3" s="1"/>
  <c r="R15" i="3" s="1"/>
  <c r="R16" i="3" s="1"/>
  <c r="R17" i="3" s="1"/>
  <c r="Q9" i="3"/>
  <c r="Q10" i="3" s="1"/>
  <c r="Q11" i="3" s="1"/>
  <c r="Q12" i="3" s="1"/>
  <c r="Q13" i="3" s="1"/>
  <c r="Q14" i="3" s="1"/>
  <c r="Q15" i="3" s="1"/>
  <c r="Q16" i="3" s="1"/>
  <c r="Q17" i="3" s="1"/>
  <c r="P17" i="3" l="1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N17" i="3"/>
  <c r="N16" i="3"/>
  <c r="N15" i="3"/>
  <c r="N14" i="3"/>
  <c r="N13" i="3"/>
  <c r="N12" i="3"/>
  <c r="N11" i="3"/>
  <c r="N10" i="3"/>
  <c r="N9" i="3"/>
  <c r="N8" i="3"/>
  <c r="O19" i="3" s="1"/>
  <c r="M17" i="3"/>
  <c r="M16" i="3"/>
  <c r="M15" i="3"/>
  <c r="M14" i="3"/>
  <c r="M13" i="3"/>
  <c r="M12" i="3"/>
  <c r="M11" i="3"/>
  <c r="M10" i="3"/>
  <c r="M9" i="3"/>
  <c r="M8" i="3"/>
  <c r="T17" i="3" l="1"/>
  <c r="S17" i="3"/>
  <c r="J5" i="3"/>
  <c r="AE7" i="4"/>
  <c r="AB7" i="4"/>
  <c r="Y7" i="4"/>
  <c r="V7" i="4"/>
  <c r="S7" i="4"/>
  <c r="P7" i="4"/>
  <c r="M7" i="4"/>
  <c r="J7" i="4"/>
  <c r="G7" i="4"/>
  <c r="D7" i="4"/>
  <c r="X16" i="4" l="1"/>
  <c r="X15" i="4"/>
  <c r="X14" i="4"/>
  <c r="X13" i="4"/>
  <c r="X12" i="4"/>
  <c r="X11" i="4"/>
  <c r="X18" i="4"/>
  <c r="X10" i="4"/>
  <c r="X17" i="4"/>
  <c r="X9" i="4"/>
  <c r="AA12" i="4"/>
  <c r="AA11" i="4"/>
  <c r="AA18" i="4"/>
  <c r="AA10" i="4"/>
  <c r="AA17" i="4"/>
  <c r="AA9" i="4"/>
  <c r="AA16" i="4"/>
  <c r="AA15" i="4"/>
  <c r="AA14" i="4"/>
  <c r="AA13" i="4"/>
  <c r="AD16" i="4"/>
  <c r="AD15" i="4"/>
  <c r="AD14" i="4"/>
  <c r="AD13" i="4"/>
  <c r="AD12" i="4"/>
  <c r="AD11" i="4"/>
  <c r="AD18" i="4"/>
  <c r="AD10" i="4"/>
  <c r="AD17" i="4"/>
  <c r="AD9" i="4"/>
  <c r="L16" i="4"/>
  <c r="L15" i="4"/>
  <c r="L14" i="4"/>
  <c r="L13" i="4"/>
  <c r="L12" i="4"/>
  <c r="L11" i="4"/>
  <c r="L18" i="4"/>
  <c r="L10" i="4"/>
  <c r="L17" i="4"/>
  <c r="L9" i="4"/>
  <c r="O12" i="4"/>
  <c r="O11" i="4"/>
  <c r="O18" i="4"/>
  <c r="O10" i="4"/>
  <c r="O17" i="4"/>
  <c r="O9" i="4"/>
  <c r="O16" i="4"/>
  <c r="O15" i="4"/>
  <c r="O14" i="4"/>
  <c r="O13" i="4"/>
  <c r="R16" i="4"/>
  <c r="R15" i="4"/>
  <c r="R14" i="4"/>
  <c r="R13" i="4"/>
  <c r="R12" i="4"/>
  <c r="R11" i="4"/>
  <c r="R18" i="4"/>
  <c r="R10" i="4"/>
  <c r="R9" i="4"/>
  <c r="R17" i="4"/>
  <c r="I12" i="4"/>
  <c r="I11" i="4"/>
  <c r="I18" i="4"/>
  <c r="I10" i="4"/>
  <c r="I17" i="4"/>
  <c r="I9" i="4"/>
  <c r="I16" i="4"/>
  <c r="I15" i="4"/>
  <c r="I14" i="4"/>
  <c r="I13" i="4"/>
  <c r="AG12" i="4"/>
  <c r="AG11" i="4"/>
  <c r="AG18" i="4"/>
  <c r="AG10" i="4"/>
  <c r="AG17" i="4"/>
  <c r="AG9" i="4"/>
  <c r="AG16" i="4"/>
  <c r="AG15" i="4"/>
  <c r="AG14" i="4"/>
  <c r="AG13" i="4"/>
  <c r="U12" i="4"/>
  <c r="U11" i="4"/>
  <c r="U18" i="4"/>
  <c r="U10" i="4"/>
  <c r="U17" i="4"/>
  <c r="U9" i="4"/>
  <c r="U16" i="4"/>
  <c r="U15" i="4"/>
  <c r="U14" i="4"/>
  <c r="U13" i="4"/>
  <c r="F12" i="4"/>
  <c r="F11" i="4"/>
  <c r="F18" i="4"/>
  <c r="F10" i="4"/>
  <c r="F17" i="4"/>
  <c r="F9" i="4"/>
  <c r="F16" i="4"/>
  <c r="F15" i="4"/>
  <c r="F14" i="4"/>
  <c r="F13" i="4"/>
  <c r="I8" i="3"/>
  <c r="J8" i="3" s="1"/>
  <c r="U8" i="3"/>
  <c r="V8" i="3" s="1"/>
  <c r="U11" i="3"/>
  <c r="V11" i="3" s="1"/>
  <c r="U14" i="3"/>
  <c r="V14" i="3" s="1"/>
  <c r="U17" i="3"/>
  <c r="V17" i="3" s="1"/>
  <c r="U16" i="3" l="1"/>
  <c r="V16" i="3" s="1"/>
  <c r="U12" i="3"/>
  <c r="V12" i="3" s="1"/>
  <c r="U13" i="3"/>
  <c r="V13" i="3" s="1"/>
  <c r="U15" i="3"/>
  <c r="V15" i="3" s="1"/>
  <c r="U10" i="3"/>
  <c r="V10" i="3" s="1"/>
  <c r="U9" i="3"/>
  <c r="V9" i="3" s="1"/>
  <c r="K8" i="3" a="1"/>
  <c r="K8" i="3" s="1"/>
  <c r="C9" i="4" l="1"/>
  <c r="I9" i="3"/>
  <c r="J9" i="3" s="1"/>
  <c r="I10" i="3" l="1"/>
  <c r="J10" i="3" s="1"/>
  <c r="K9" i="3" l="1" a="1"/>
  <c r="K9" i="3" s="1"/>
  <c r="C10" i="4" s="1"/>
  <c r="I11" i="3"/>
  <c r="J11" i="3" s="1"/>
  <c r="K10" i="3" l="1" a="1"/>
  <c r="K10" i="3" s="1"/>
  <c r="C11" i="4" s="1"/>
  <c r="I12" i="3"/>
  <c r="J12" i="3" s="1"/>
  <c r="K11" i="3" l="1" a="1"/>
  <c r="K11" i="3" s="1"/>
  <c r="C12" i="4" s="1"/>
  <c r="I13" i="3"/>
  <c r="J13" i="3" s="1"/>
  <c r="I14" i="3" l="1"/>
  <c r="K12" i="3" a="1"/>
  <c r="K12" i="3" s="1"/>
  <c r="C13" i="4" s="1"/>
  <c r="J14" i="3" l="1"/>
  <c r="K14" i="3" s="1" a="1"/>
  <c r="K14" i="3" s="1"/>
  <c r="C15" i="4" s="1"/>
  <c r="K13" i="3" a="1"/>
  <c r="K13" i="3" s="1"/>
  <c r="C14" i="4" s="1"/>
  <c r="I15" i="3" l="1"/>
  <c r="J15" i="3" s="1"/>
  <c r="I16" i="3" s="1"/>
  <c r="J16" i="3" s="1"/>
  <c r="I17" i="3" s="1"/>
  <c r="J17" i="3" s="1"/>
  <c r="K15" i="3" l="1" a="1"/>
  <c r="K15" i="3" s="1"/>
  <c r="C16" i="4" s="1"/>
  <c r="K16" i="3" a="1"/>
  <c r="K16" i="3" s="1"/>
  <c r="C17" i="4" s="1"/>
  <c r="I18" i="3"/>
  <c r="J18" i="3" s="1"/>
  <c r="K17" i="3" l="1" a="1"/>
  <c r="K17" i="3" s="1"/>
  <c r="C18" i="4" s="1"/>
  <c r="I19" i="3"/>
  <c r="J19" i="3" s="1"/>
  <c r="K18" i="3" l="1" a="1"/>
  <c r="K18" i="3" s="1"/>
  <c r="C19" i="4" s="1"/>
  <c r="I20" i="3"/>
  <c r="J20" i="3" s="1"/>
  <c r="K19" i="3" l="1" a="1"/>
  <c r="K19" i="3" s="1"/>
  <c r="C20" i="4" s="1"/>
  <c r="I21" i="3"/>
  <c r="J21" i="3" s="1"/>
  <c r="K20" i="3" l="1" a="1"/>
  <c r="K20" i="3" s="1"/>
  <c r="C21" i="4" s="1"/>
  <c r="I22" i="3"/>
  <c r="J22" i="3" s="1"/>
  <c r="K21" i="3" l="1" a="1"/>
  <c r="K21" i="3" s="1"/>
  <c r="C22" i="4" s="1"/>
  <c r="I23" i="3"/>
  <c r="J23" i="3" s="1"/>
  <c r="K22" i="3" l="1" a="1"/>
  <c r="K22" i="3" s="1"/>
  <c r="C23" i="4" s="1"/>
  <c r="I24" i="3"/>
  <c r="J24" i="3" s="1"/>
  <c r="K23" i="3" l="1" a="1"/>
  <c r="K23" i="3" s="1"/>
  <c r="C24" i="4" s="1"/>
  <c r="I25" i="3"/>
  <c r="J25" i="3" s="1"/>
  <c r="K24" i="3" l="1" a="1"/>
  <c r="K24" i="3" s="1"/>
  <c r="C25" i="4" s="1"/>
  <c r="I26" i="3"/>
  <c r="J26" i="3" s="1"/>
  <c r="K25" i="3" l="1" a="1"/>
  <c r="K25" i="3" s="1"/>
  <c r="C26" i="4" s="1"/>
  <c r="I27" i="3"/>
  <c r="J27" i="3" s="1"/>
  <c r="K26" i="3" l="1" a="1"/>
  <c r="K26" i="3" s="1"/>
  <c r="C27" i="4" s="1"/>
  <c r="I28" i="3"/>
  <c r="J28" i="3" s="1"/>
  <c r="K27" i="3" l="1" a="1"/>
  <c r="K27" i="3" s="1"/>
  <c r="C28" i="4" s="1"/>
  <c r="I29" i="3"/>
  <c r="J29" i="3" s="1"/>
  <c r="K28" i="3" l="1" a="1"/>
  <c r="K28" i="3" s="1"/>
  <c r="C29" i="4" s="1"/>
  <c r="I30" i="3"/>
  <c r="J30" i="3" s="1"/>
  <c r="K29" i="3" l="1" a="1"/>
  <c r="K29" i="3" s="1"/>
  <c r="C30" i="4" s="1"/>
  <c r="I31" i="3"/>
  <c r="J31" i="3" s="1"/>
  <c r="K30" i="3" l="1" a="1"/>
  <c r="K30" i="3" s="1"/>
  <c r="C31" i="4" s="1"/>
  <c r="I32" i="3"/>
  <c r="J32" i="3" s="1"/>
  <c r="K31" i="3" l="1" a="1"/>
  <c r="K31" i="3" s="1"/>
  <c r="C32" i="4" s="1"/>
  <c r="I33" i="3"/>
  <c r="J33" i="3" s="1"/>
  <c r="K32" i="3" l="1" a="1"/>
  <c r="K32" i="3" s="1"/>
  <c r="C33" i="4" s="1"/>
  <c r="I34" i="3"/>
  <c r="J34" i="3" s="1"/>
  <c r="K33" i="3" l="1" a="1"/>
  <c r="K33" i="3" s="1"/>
  <c r="C34" i="4" s="1"/>
  <c r="I35" i="3"/>
  <c r="J35" i="3" s="1"/>
  <c r="K34" i="3" l="1" a="1"/>
  <c r="K34" i="3" s="1"/>
  <c r="C35" i="4" s="1"/>
  <c r="I36" i="3"/>
  <c r="J36" i="3" s="1"/>
  <c r="K35" i="3" l="1" a="1"/>
  <c r="K35" i="3" s="1"/>
  <c r="C36" i="4" s="1"/>
  <c r="I37" i="3"/>
  <c r="J37" i="3" s="1"/>
  <c r="K36" i="3" l="1" a="1"/>
  <c r="K36" i="3" s="1"/>
  <c r="C37" i="4" s="1"/>
  <c r="I38" i="3"/>
  <c r="J38" i="3" s="1"/>
  <c r="K37" i="3" l="1" a="1"/>
  <c r="K37" i="3" s="1"/>
  <c r="C38" i="4" s="1"/>
  <c r="I39" i="3"/>
  <c r="J39" i="3" s="1"/>
  <c r="K38" i="3" l="1" a="1"/>
  <c r="K38" i="3" s="1"/>
  <c r="C39" i="4" s="1"/>
  <c r="I40" i="3"/>
  <c r="J40" i="3" s="1"/>
  <c r="K39" i="3" l="1" a="1"/>
  <c r="K39" i="3" s="1"/>
  <c r="C40" i="4" s="1"/>
  <c r="I41" i="3"/>
  <c r="J41" i="3" s="1"/>
  <c r="K40" i="3" l="1" a="1"/>
  <c r="K40" i="3" s="1"/>
  <c r="C41" i="4" s="1"/>
  <c r="I42" i="3"/>
  <c r="J42" i="3" s="1"/>
  <c r="K41" i="3" l="1" a="1"/>
  <c r="K41" i="3" s="1"/>
  <c r="C42" i="4" s="1"/>
  <c r="I43" i="3"/>
  <c r="J43" i="3" s="1"/>
  <c r="K42" i="3" l="1" a="1"/>
  <c r="K42" i="3" s="1"/>
  <c r="C43" i="4" s="1"/>
  <c r="I44" i="3"/>
  <c r="J44" i="3" s="1"/>
  <c r="K43" i="3" l="1" a="1"/>
  <c r="K43" i="3" s="1"/>
  <c r="C44" i="4" s="1"/>
  <c r="I45" i="3"/>
  <c r="J45" i="3" s="1"/>
  <c r="K44" i="3" l="1" a="1"/>
  <c r="K44" i="3" s="1"/>
  <c r="C45" i="4" s="1"/>
  <c r="I46" i="3"/>
  <c r="J46" i="3" s="1"/>
  <c r="K45" i="3" l="1" a="1"/>
  <c r="K45" i="3" s="1"/>
  <c r="C46" i="4" s="1"/>
  <c r="I47" i="3"/>
  <c r="J47" i="3" s="1"/>
  <c r="K46" i="3" l="1" a="1"/>
  <c r="K46" i="3" s="1"/>
  <c r="C47" i="4" s="1"/>
  <c r="I48" i="3"/>
  <c r="J48" i="3" s="1"/>
  <c r="K47" i="3" l="1" a="1"/>
  <c r="K47" i="3" s="1"/>
  <c r="C48" i="4" s="1"/>
  <c r="I49" i="3"/>
  <c r="J49" i="3" s="1"/>
  <c r="K48" i="3" l="1" a="1"/>
  <c r="K48" i="3" s="1"/>
  <c r="C49" i="4" s="1"/>
  <c r="I50" i="3"/>
  <c r="J50" i="3" s="1"/>
  <c r="K49" i="3" l="1" a="1"/>
  <c r="K49" i="3" s="1"/>
  <c r="C50" i="4" s="1"/>
  <c r="I51" i="3"/>
  <c r="J51" i="3" s="1"/>
  <c r="K50" i="3" l="1" a="1"/>
  <c r="K50" i="3" s="1"/>
  <c r="C51" i="4" s="1"/>
  <c r="I52" i="3"/>
  <c r="J52" i="3" s="1"/>
  <c r="K51" i="3" l="1" a="1"/>
  <c r="K51" i="3" s="1"/>
  <c r="C52" i="4" s="1"/>
  <c r="I53" i="3"/>
  <c r="J53" i="3" s="1"/>
  <c r="K52" i="3" l="1" a="1"/>
  <c r="K52" i="3" s="1"/>
  <c r="C53" i="4" s="1"/>
  <c r="I54" i="3"/>
  <c r="J54" i="3" s="1"/>
  <c r="K53" i="3" l="1" a="1"/>
  <c r="K53" i="3" s="1"/>
  <c r="C54" i="4" s="1"/>
  <c r="I55" i="3"/>
  <c r="J55" i="3" s="1"/>
  <c r="K54" i="3" l="1" a="1"/>
  <c r="K54" i="3" s="1"/>
  <c r="C55" i="4" s="1"/>
  <c r="I56" i="3"/>
  <c r="J56" i="3" s="1"/>
  <c r="K55" i="3" l="1" a="1"/>
  <c r="K55" i="3" s="1"/>
  <c r="C56" i="4" s="1"/>
  <c r="I57" i="3"/>
  <c r="J57" i="3" s="1"/>
  <c r="K56" i="3" l="1" a="1"/>
  <c r="K56" i="3" s="1"/>
  <c r="C57" i="4" s="1"/>
  <c r="I58" i="3"/>
  <c r="J58" i="3" s="1"/>
  <c r="K57" i="3" l="1" a="1"/>
  <c r="K57" i="3" s="1"/>
  <c r="C58" i="4" s="1"/>
  <c r="I59" i="3"/>
  <c r="J59" i="3" s="1"/>
  <c r="K58" i="3" l="1" a="1"/>
  <c r="K58" i="3" s="1"/>
  <c r="C59" i="4" s="1"/>
  <c r="K59" i="3" a="1"/>
  <c r="K59" i="3" s="1"/>
  <c r="C60" i="4" l="1"/>
</calcChain>
</file>

<file path=xl/sharedStrings.xml><?xml version="1.0" encoding="utf-8"?>
<sst xmlns="http://schemas.openxmlformats.org/spreadsheetml/2006/main" count="185" uniqueCount="135">
  <si>
    <t>Start Date</t>
  </si>
  <si>
    <t>Calculation</t>
  </si>
  <si>
    <t>Sum</t>
  </si>
  <si>
    <t>Average</t>
  </si>
  <si>
    <t>Aim</t>
  </si>
  <si>
    <t>Higher</t>
  </si>
  <si>
    <t>Lower</t>
  </si>
  <si>
    <t>Target</t>
  </si>
  <si>
    <t>Actual</t>
  </si>
  <si>
    <t>Start date</t>
  </si>
  <si>
    <t>Week Start</t>
  </si>
  <si>
    <t>Week End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</si>
  <si>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</si>
  <si>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</si>
  <si>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</si>
  <si>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</si>
  <si>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</si>
  <si>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</si>
  <si>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</si>
  <si>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</si>
  <si>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</si>
  <si>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</si>
  <si>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</si>
  <si>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Oct</t>
  </si>
  <si>
    <t>Dec</t>
  </si>
  <si>
    <t>Calc</t>
  </si>
  <si>
    <t>Group</t>
  </si>
  <si>
    <t>KPI</t>
  </si>
  <si>
    <t>Cumulative Target</t>
  </si>
  <si>
    <t>Cumulative Actual</t>
  </si>
  <si>
    <t>Index</t>
  </si>
  <si>
    <t>Target Offset</t>
  </si>
  <si>
    <t>Actual Offset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</si>
  <si>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</si>
  <si>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</si>
  <si>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</si>
  <si>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</si>
  <si>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</si>
  <si>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</si>
  <si>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</si>
  <si>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</si>
  <si>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</si>
  <si>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</si>
  <si>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</si>
  <si>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</si>
  <si>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</si>
  <si>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</si>
  <si>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</si>
  <si>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</si>
  <si>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</si>
  <si>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</si>
  <si>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</si>
  <si>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</si>
  <si>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</si>
  <si>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</si>
  <si>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</si>
  <si>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</si>
  <si>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</si>
  <si>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</si>
  <si>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</si>
  <si>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</si>
  <si>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</si>
  <si>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</si>
  <si>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</si>
  <si>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</si>
  <si>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</si>
  <si>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</si>
  <si>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</si>
  <si>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</si>
  <si>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</si>
  <si>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</si>
  <si>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</si>
  <si>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</si>
  <si>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</si>
  <si>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</si>
  <si>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</si>
  <si>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</si>
  <si>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</si>
  <si>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</si>
  <si>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</si>
  <si>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</si>
  <si>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</si>
  <si>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</si>
  <si>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</si>
  <si>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</si>
  <si>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Weeks</t>
  </si>
  <si>
    <t>Week</t>
  </si>
  <si>
    <t>Remaining</t>
  </si>
  <si>
    <t>Offset Increment</t>
  </si>
  <si>
    <t>Explanation</t>
  </si>
  <si>
    <t>Dropdown Menus</t>
  </si>
  <si>
    <t>Date Calculations</t>
  </si>
  <si>
    <t>KPI Charts</t>
  </si>
  <si>
    <t>KPI Group</t>
  </si>
  <si>
    <t>KPI Metric</t>
  </si>
  <si>
    <t>Sales Performance</t>
  </si>
  <si>
    <t>Monthly Revenue</t>
  </si>
  <si>
    <t>Total revenue generated per month</t>
  </si>
  <si>
    <t>Customer Acquisition Cost (CAC)</t>
  </si>
  <si>
    <t>Cost to acquire one new customer</t>
  </si>
  <si>
    <t>Conversion Rate</t>
  </si>
  <si>
    <t>Percentage of leads that become customers</t>
  </si>
  <si>
    <t>Customer Success</t>
  </si>
  <si>
    <t>Customer Lifetime Value (CLV)</t>
  </si>
  <si>
    <t>Total revenue expected from a customer</t>
  </si>
  <si>
    <t>Customer Retention Rate</t>
  </si>
  <si>
    <t>Percentage of customers retained over time</t>
  </si>
  <si>
    <t>Net Promoter Score (NPS)</t>
  </si>
  <si>
    <t>Customer satisfaction and loyalty score</t>
  </si>
  <si>
    <t>Financial Health</t>
  </si>
  <si>
    <t>Gross Profit Margin</t>
  </si>
  <si>
    <t>Revenue minus cost of goods sold percentage</t>
  </si>
  <si>
    <t>Cash Flow</t>
  </si>
  <si>
    <t>Net cash coming in and going out</t>
  </si>
  <si>
    <t>Operational Efficiency</t>
  </si>
  <si>
    <t>Average Order Value (AOV)</t>
  </si>
  <si>
    <t>Average amount spent per transaction</t>
  </si>
  <si>
    <t>Employee Productivity</t>
  </si>
  <si>
    <t>Revenue generated per employee</t>
  </si>
  <si>
    <t xml:space="preserve">
Select the aim as "Lower" if a KPI indicates a better performance when it's numerically lower.</t>
  </si>
  <si>
    <t>Select the method of calculation to find cumulative totals: Sum or Average.</t>
  </si>
  <si>
    <t>Calculation Method</t>
  </si>
  <si>
    <t>Select the start date for your 52-week template.</t>
  </si>
  <si>
    <t>MENU</t>
  </si>
  <si>
    <t>WEEKLY KPI REPORT</t>
  </si>
  <si>
    <t>KPI REPORT</t>
  </si>
  <si>
    <t>TERMS OF USE</t>
  </si>
  <si>
    <t>END USER LICENSE AGREEMENT</t>
  </si>
  <si>
    <r>
      <t xml:space="preserve">This End-User License Agreement is a legal agreement between you and </t>
    </r>
    <r>
      <rPr>
        <b/>
        <sz val="11"/>
        <color theme="1"/>
        <rFont val="Aptos Narrow"/>
        <family val="2"/>
        <charset val="162"/>
        <scheme val="minor"/>
      </rPr>
      <t>someka.net</t>
    </r>
    <r>
      <rPr>
        <sz val="11"/>
        <color theme="1"/>
        <rFont val="Aptos Narrow"/>
        <family val="2"/>
        <charset val="162"/>
        <scheme val="minor"/>
      </rPr>
      <t xml:space="preserve"> that covers all Microsoft Excel templates, spreadsheets or software built by </t>
    </r>
    <r>
      <rPr>
        <b/>
        <sz val="11"/>
        <color theme="1"/>
        <rFont val="Aptos Narrow"/>
        <family val="2"/>
        <charset val="162"/>
        <scheme val="minor"/>
      </rPr>
      <t>someka.net</t>
    </r>
    <r>
      <rPr>
        <sz val="11"/>
        <color theme="1"/>
        <rFont val="Aptos Narrow"/>
        <family val="2"/>
        <charset val="162"/>
        <scheme val="minor"/>
      </rPr>
      <t>.</t>
    </r>
  </si>
  <si>
    <t>By downloading, copying, accessing or otherwise using any of these templates, you agree to abide by the following terms:</t>
  </si>
  <si>
    <r>
      <t xml:space="preserve">* You may </t>
    </r>
    <r>
      <rPr>
        <b/>
        <sz val="11"/>
        <color theme="1"/>
        <rFont val="Aptos Narrow"/>
        <family val="2"/>
        <charset val="162"/>
        <scheme val="minor"/>
      </rPr>
      <t>NOT</t>
    </r>
    <r>
      <rPr>
        <sz val="11"/>
        <color theme="1"/>
        <rFont val="Aptos Narrow"/>
        <family val="2"/>
        <charset val="162"/>
        <scheme val="minor"/>
      </rPr>
      <t xml:space="preserve"> sell, resell, license, rent, lease, lend or otherwise transfer for value without written permission of someka.net
* Unless you've purchased the proper license rights, you may </t>
    </r>
    <r>
      <rPr>
        <b/>
        <sz val="11"/>
        <color theme="1"/>
        <rFont val="Aptos Narrow"/>
        <family val="2"/>
        <charset val="162"/>
        <scheme val="minor"/>
      </rPr>
      <t>NOT</t>
    </r>
    <r>
      <rPr>
        <sz val="11"/>
        <color theme="1"/>
        <rFont val="Aptos Narrow"/>
        <family val="2"/>
        <charset val="162"/>
        <scheme val="minor"/>
      </rPr>
      <t xml:space="preserve"> remove or alter any someka.net logo, trademark, copyright, disclaimer, brand, terms of use, attribution, or other proprietary notices or marks within the template.
* You may </t>
    </r>
    <r>
      <rPr>
        <b/>
        <sz val="11"/>
        <color theme="1"/>
        <rFont val="Aptos Narrow"/>
        <family val="2"/>
        <charset val="162"/>
        <scheme val="minor"/>
      </rPr>
      <t>NOT</t>
    </r>
    <r>
      <rPr>
        <sz val="11"/>
        <color theme="1"/>
        <rFont val="Aptos Narrow"/>
        <family val="2"/>
        <charset val="162"/>
        <scheme val="minor"/>
      </rPr>
      <t xml:space="preserve"> distribute, publish to an online gallery, host on a website, or place on any server in a way that makes it available to the general public.</t>
    </r>
  </si>
  <si>
    <t>RESERVATION OF RIGHTS</t>
  </si>
  <si>
    <r>
      <t xml:space="preserve">All title and copyrights in and to the Template, and any copies of the Template, are </t>
    </r>
    <r>
      <rPr>
        <b/>
        <u/>
        <sz val="11"/>
        <color theme="1"/>
        <rFont val="Aptos Narrow"/>
        <family val="2"/>
        <charset val="162"/>
        <scheme val="minor"/>
      </rPr>
      <t>owned by someka.net</t>
    </r>
    <r>
      <rPr>
        <sz val="11"/>
        <color theme="1"/>
        <rFont val="Aptos Narrow"/>
        <family val="2"/>
        <charset val="162"/>
        <scheme val="minor"/>
      </rPr>
      <t xml:space="preserve">. All rights not expressly granted are reserved by someka.net. 
</t>
    </r>
    <r>
      <rPr>
        <u/>
        <sz val="11"/>
        <color theme="1"/>
        <rFont val="Aptos Narrow"/>
        <family val="2"/>
        <charset val="162"/>
        <scheme val="minor"/>
      </rPr>
      <t>Use of any Template for any purpose other than expressly permitted in this EULA is prohibited, and may result in severe civil and criminal penalties.</t>
    </r>
  </si>
  <si>
    <t>CONTACT</t>
  </si>
  <si>
    <r>
      <t xml:space="preserve">For more information and specific permissions for your case, please contact us at: </t>
    </r>
    <r>
      <rPr>
        <i/>
        <sz val="11"/>
        <color theme="1"/>
        <rFont val="Aptos Narrow"/>
        <family val="2"/>
        <charset val="162"/>
        <scheme val="minor"/>
      </rPr>
      <t>contact@someka.net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</si>
</sst>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0" tint="-0.34998626667073579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0.499984740745262"/>
      <name val="Aptos Narrow"/>
      <family val="2"/>
      <charset val="162"/>
      <scheme val="minor"/>
    </font>
    <font>
      <sz val="11"/>
      <color rgb="FF565264"/>
      <name val="Aptos Narrow"/>
      <family val="2"/>
      <charset val="162"/>
      <scheme val="minor"/>
    </font>
    <font>
      <sz val="13"/>
      <color rgb="FFFFC000"/>
      <name val="Aptos Narrow"/>
      <family val="2"/>
      <charset val="162"/>
      <scheme val="minor"/>
    </font>
    <font>
      <sz val="13"/>
      <color theme="1"/>
      <name val="Aptos Narrow"/>
      <family val="2"/>
      <charset val="162"/>
      <scheme val="minor"/>
    </font>
    <font>
      <b/>
      <sz val="16"/>
      <color theme="0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u/>
      <sz val="10"/>
      <color indexed="12"/>
      <name val="Verdana"/>
      <family val="2"/>
    </font>
    <font>
      <u/>
      <sz val="11"/>
      <color theme="0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3"/>
      <color theme="0" tint="-4.9989318521683403E-2"/>
      <name val="Aptos Narrow"/>
      <family val="2"/>
      <charset val="162"/>
      <scheme val="minor"/>
    </font>
    <font>
      <b/>
      <sz val="16"/>
      <color theme="1"/>
      <name val="Aptos Narrow"/>
      <family val="2"/>
      <charset val="162"/>
      <scheme val="minor"/>
    </font>
    <font>
      <b/>
      <i/>
      <sz val="16"/>
      <color theme="0" tint="-4.9989318521683403E-2"/>
      <name val="Aptos Narrow"/>
      <family val="2"/>
      <charset val="162"/>
      <scheme val="minor"/>
    </font>
    <font>
      <sz val="10"/>
      <name val="Arial"/>
      <family val="2"/>
      <charset val="162"/>
    </font>
    <font>
      <sz val="11"/>
      <name val="Aptos Narrow"/>
      <family val="2"/>
      <charset val="162"/>
      <scheme val="minor"/>
    </font>
    <font>
      <b/>
      <u/>
      <sz val="11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b/>
      <u/>
      <sz val="11"/>
      <color theme="1"/>
      <name val="Aptos Narrow"/>
      <family val="2"/>
      <charset val="162"/>
      <scheme val="minor"/>
    </font>
    <font>
      <u/>
      <sz val="11"/>
      <color theme="1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565264"/>
        <bgColor indexed="64"/>
      </patternFill>
    </fill>
    <fill>
      <patternFill patternType="solid">
        <fgColor rgb="FFA6808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CCCCCC"/>
        <bgColor indexed="64"/>
      </patternFill>
    </fill>
  </fills>
  <borders count="4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565264"/>
      </left>
      <right style="thin">
        <color rgb="FF565264"/>
      </right>
      <top style="thin">
        <color rgb="FF565264"/>
      </top>
      <bottom style="thin">
        <color rgb="FF565264"/>
      </bottom>
      <diagonal/>
    </border>
    <border>
      <left style="thin">
        <color rgb="FF565264"/>
      </left>
      <right/>
      <top style="thin">
        <color rgb="FF565264"/>
      </top>
      <bottom/>
      <diagonal/>
    </border>
    <border>
      <left/>
      <right style="thin">
        <color rgb="FF565264"/>
      </right>
      <top style="thin">
        <color rgb="FF565264"/>
      </top>
      <bottom/>
      <diagonal/>
    </border>
    <border>
      <left style="thin">
        <color rgb="FF565264"/>
      </left>
      <right/>
      <top/>
      <bottom style="hair">
        <color theme="0" tint="-0.24994659260841701"/>
      </bottom>
      <diagonal/>
    </border>
    <border>
      <left style="thin">
        <color rgb="FF565264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rgb="FF565264"/>
      </left>
      <right style="thin">
        <color rgb="FF565264"/>
      </right>
      <top/>
      <bottom style="hair">
        <color theme="0" tint="-0.24994659260841701"/>
      </bottom>
      <diagonal/>
    </border>
    <border>
      <left style="thin">
        <color rgb="FF565264"/>
      </left>
      <right/>
      <top style="thin">
        <color rgb="FF565264"/>
      </top>
      <bottom style="thin">
        <color rgb="FF565264"/>
      </bottom>
      <diagonal/>
    </border>
    <border>
      <left/>
      <right style="thin">
        <color rgb="FF565264"/>
      </right>
      <top style="thin">
        <color rgb="FF565264"/>
      </top>
      <bottom style="thin">
        <color rgb="FF565264"/>
      </bottom>
      <diagonal/>
    </border>
    <border>
      <left style="hair">
        <color rgb="FF565264"/>
      </left>
      <right style="thin">
        <color rgb="FF565264"/>
      </right>
      <top style="thin">
        <color rgb="FF565264"/>
      </top>
      <bottom style="hair">
        <color theme="0" tint="-0.24994659260841701"/>
      </bottom>
      <diagonal/>
    </border>
    <border>
      <left style="hair">
        <color rgb="FF565264"/>
      </left>
      <right style="thin">
        <color rgb="FF5652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65264"/>
      </top>
      <bottom/>
      <diagonal/>
    </border>
    <border>
      <left/>
      <right/>
      <top style="thin">
        <color rgb="FF565264"/>
      </top>
      <bottom style="thin">
        <color rgb="FF565264"/>
      </bottom>
      <diagonal/>
    </border>
    <border>
      <left style="hair">
        <color rgb="FF565264"/>
      </left>
      <right/>
      <top style="thin">
        <color rgb="FF565264"/>
      </top>
      <bottom style="hair">
        <color theme="0" tint="-0.24994659260841701"/>
      </bottom>
      <diagonal/>
    </border>
    <border>
      <left style="hair">
        <color rgb="FF565264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rgb="FF565264"/>
      </left>
      <right style="thin">
        <color rgb="FF565264"/>
      </right>
      <top/>
      <bottom style="hair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rgb="FF565264"/>
      </left>
      <right/>
      <top/>
      <bottom/>
      <diagonal/>
    </border>
    <border>
      <left/>
      <right style="thin">
        <color rgb="FF565264"/>
      </right>
      <top/>
      <bottom/>
      <diagonal/>
    </border>
    <border>
      <left style="thin">
        <color rgb="FF565264"/>
      </left>
      <right/>
      <top/>
      <bottom style="thin">
        <color rgb="FF565264"/>
      </bottom>
      <diagonal/>
    </border>
    <border>
      <left/>
      <right/>
      <top/>
      <bottom style="thin">
        <color rgb="FF565264"/>
      </bottom>
      <diagonal/>
    </border>
    <border>
      <left/>
      <right style="thin">
        <color rgb="FF565264"/>
      </right>
      <top/>
      <bottom style="thin">
        <color rgb="FF5652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565264"/>
      </left>
      <right style="thin">
        <color rgb="FF565264"/>
      </right>
      <top/>
      <bottom/>
      <diagonal/>
    </border>
    <border>
      <left style="thin">
        <color rgb="FF565264"/>
      </left>
      <right/>
      <top style="hair">
        <color theme="0" tint="-0.24994659260841701"/>
      </top>
      <bottom/>
      <diagonal/>
    </border>
    <border>
      <left style="hair">
        <color rgb="FF565264"/>
      </left>
      <right/>
      <top style="hair">
        <color theme="0" tint="-0.24994659260841701"/>
      </top>
      <bottom/>
      <diagonal/>
    </border>
    <border>
      <left style="hair">
        <color rgb="FF565264"/>
      </left>
      <right style="thin">
        <color rgb="FF565264"/>
      </right>
      <top style="hair">
        <color theme="0" tint="-0.24994659260841701"/>
      </top>
      <bottom/>
      <diagonal/>
    </border>
    <border>
      <left style="thin">
        <color rgb="FF44546A"/>
      </left>
      <right style="thin">
        <color rgb="FFA6A6A6"/>
      </right>
      <top style="thin">
        <color rgb="FF44546A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4546A"/>
      </top>
      <bottom style="thin">
        <color rgb="FFA6A6A6"/>
      </bottom>
      <diagonal/>
    </border>
    <border>
      <left style="thin">
        <color rgb="FF44546A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4546A"/>
      </left>
      <right style="thin">
        <color rgb="FFA6A6A6"/>
      </right>
      <top style="thin">
        <color rgb="FFA6A6A6"/>
      </top>
      <bottom style="thin">
        <color rgb="FF44546A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4546A"/>
      </bottom>
      <diagonal/>
    </border>
    <border>
      <left style="thin">
        <color rgb="FFA6A6A6"/>
      </left>
      <right style="thin">
        <color rgb="FF44546A"/>
      </right>
      <top style="thin">
        <color rgb="FF44546A"/>
      </top>
      <bottom style="thin">
        <color rgb="FFA6A6A6"/>
      </bottom>
      <diagonal/>
    </border>
    <border>
      <left style="thin">
        <color rgb="FFA6A6A6"/>
      </left>
      <right style="thin">
        <color rgb="FF44546A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44546A"/>
      </right>
      <top style="thin">
        <color rgb="FFA6A6A6"/>
      </top>
      <bottom style="thin">
        <color rgb="FF44546A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2" fillId="0" borderId="0"/>
    <xf numFmtId="0" fontId="14" fillId="0" borderId="0"/>
  </cellStyleXfs>
  <cellXfs count="130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  <protection hidden="1"/>
    </xf>
    <xf numFmtId="3" fontId="4" fillId="2" borderId="11" xfId="0" applyNumberFormat="1" applyFont="1" applyFill="1" applyBorder="1" applyAlignment="1" applyProtection="1">
      <alignment horizontal="center" vertical="center"/>
      <protection hidden="1"/>
    </xf>
    <xf numFmtId="3" fontId="4" fillId="2" borderId="17" xfId="0" applyNumberFormat="1" applyFont="1" applyFill="1" applyBorder="1" applyAlignment="1" applyProtection="1">
      <alignment horizontal="center" vertical="center"/>
      <protection hidden="1"/>
    </xf>
    <xf numFmtId="3" fontId="0" fillId="0" borderId="5" xfId="0" applyNumberFormat="1" applyBorder="1" applyAlignment="1" applyProtection="1">
      <alignment horizontal="center" vertical="center"/>
      <protection locked="0"/>
    </xf>
    <xf numFmtId="3" fontId="0" fillId="0" borderId="15" xfId="0" applyNumberFormat="1" applyBorder="1" applyAlignment="1" applyProtection="1">
      <alignment horizontal="center" vertical="center"/>
      <protection locked="0"/>
    </xf>
    <xf numFmtId="3" fontId="0" fillId="0" borderId="6" xfId="0" applyNumberFormat="1" applyBorder="1" applyAlignment="1" applyProtection="1">
      <alignment horizontal="center" vertical="center"/>
      <protection locked="0"/>
    </xf>
    <xf numFmtId="3" fontId="0" fillId="0" borderId="16" xfId="0" applyNumberFormat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Continuous" vertical="center" wrapText="1"/>
      <protection hidden="1"/>
    </xf>
    <xf numFmtId="0" fontId="5" fillId="3" borderId="13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Continuous" vertical="center" wrapText="1"/>
      <protection hidden="1"/>
    </xf>
    <xf numFmtId="0" fontId="2" fillId="4" borderId="4" xfId="0" applyFont="1" applyFill="1" applyBorder="1" applyAlignment="1" applyProtection="1">
      <alignment horizontal="centerContinuous" vertical="center" wrapText="1"/>
      <protection hidden="1"/>
    </xf>
    <xf numFmtId="0" fontId="5" fillId="4" borderId="13" xfId="0" applyFont="1" applyFill="1" applyBorder="1" applyAlignment="1" applyProtection="1">
      <alignment horizontal="centerContinuous" vertical="center" wrapText="1"/>
      <protection hidden="1"/>
    </xf>
    <xf numFmtId="0" fontId="2" fillId="3" borderId="3" xfId="0" applyFont="1" applyFill="1" applyBorder="1" applyAlignment="1" applyProtection="1">
      <alignment horizontal="centerContinuous" vertical="center" wrapText="1"/>
      <protection hidden="1"/>
    </xf>
    <xf numFmtId="0" fontId="5" fillId="3" borderId="13" xfId="0" applyFont="1" applyFill="1" applyBorder="1" applyAlignment="1" applyProtection="1">
      <alignment horizontal="centerContinuous" vertical="center" wrapText="1"/>
      <protection hidden="1"/>
    </xf>
    <xf numFmtId="14" fontId="10" fillId="2" borderId="7" xfId="0" applyNumberFormat="1" applyFont="1" applyFill="1" applyBorder="1" applyAlignment="1" applyProtection="1">
      <alignment horizontal="center" vertical="center"/>
      <protection hidden="1"/>
    </xf>
    <xf numFmtId="49" fontId="11" fillId="7" borderId="0" xfId="0" applyNumberFormat="1" applyFont="1" applyFill="1" applyAlignment="1">
      <alignment horizontal="left" vertical="center" indent="7"/>
    </xf>
    <xf numFmtId="49" fontId="11" fillId="7" borderId="0" xfId="0" applyNumberFormat="1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horizontal="left" vertical="center"/>
    </xf>
    <xf numFmtId="4" fontId="0" fillId="2" borderId="0" xfId="0" applyNumberForma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5" fillId="4" borderId="2" xfId="0" applyFont="1" applyFill="1" applyBorder="1" applyAlignment="1" applyProtection="1">
      <alignment horizontal="centerContinuous" vertical="center" wrapText="1"/>
      <protection hidden="1"/>
    </xf>
    <xf numFmtId="0" fontId="0" fillId="0" borderId="0" xfId="0" applyAlignment="1">
      <alignment shrinkToFit="1"/>
    </xf>
    <xf numFmtId="0" fontId="0" fillId="0" borderId="0" xfId="0" applyAlignment="1">
      <alignment horizontal="center" vertical="center" shrinkToFit="1"/>
    </xf>
    <xf numFmtId="3" fontId="0" fillId="0" borderId="0" xfId="0" applyNumberFormat="1" applyAlignment="1">
      <alignment shrinkToFit="1"/>
    </xf>
    <xf numFmtId="0" fontId="0" fillId="6" borderId="12" xfId="0" applyFill="1" applyBorder="1" applyAlignment="1">
      <alignment shrinkToFit="1"/>
    </xf>
    <xf numFmtId="14" fontId="0" fillId="0" borderId="12" xfId="0" applyNumberFormat="1" applyBorder="1" applyAlignment="1">
      <alignment shrinkToFit="1"/>
    </xf>
    <xf numFmtId="0" fontId="0" fillId="0" borderId="12" xfId="0" applyBorder="1" applyAlignment="1">
      <alignment horizontal="center" vertical="center" shrinkToFit="1"/>
    </xf>
    <xf numFmtId="0" fontId="3" fillId="6" borderId="12" xfId="0" applyFont="1" applyFill="1" applyBorder="1" applyAlignment="1">
      <alignment shrinkToFit="1"/>
    </xf>
    <xf numFmtId="0" fontId="3" fillId="6" borderId="12" xfId="0" applyFont="1" applyFill="1" applyBorder="1" applyAlignment="1">
      <alignment horizontal="center" vertical="center" shrinkToFit="1"/>
    </xf>
    <xf numFmtId="0" fontId="3" fillId="6" borderId="12" xfId="0" applyFont="1" applyFill="1" applyBorder="1" applyAlignment="1">
      <alignment horizontal="center" shrinkToFit="1"/>
    </xf>
    <xf numFmtId="0" fontId="0" fillId="0" borderId="12" xfId="0" applyBorder="1" applyAlignment="1">
      <alignment shrinkToFit="1"/>
    </xf>
    <xf numFmtId="14" fontId="0" fillId="0" borderId="12" xfId="0" applyNumberFormat="1" applyBorder="1" applyAlignment="1">
      <alignment horizontal="center" shrinkToFit="1"/>
    </xf>
    <xf numFmtId="3" fontId="0" fillId="0" borderId="12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3" fontId="0" fillId="0" borderId="18" xfId="0" applyNumberFormat="1" applyBorder="1" applyAlignment="1">
      <alignment horizontal="center" vertical="center" shrinkToFit="1"/>
    </xf>
    <xf numFmtId="3" fontId="0" fillId="0" borderId="0" xfId="0" applyNumberFormat="1" applyAlignment="1">
      <alignment horizontal="center" vertical="center" shrinkToFit="1"/>
    </xf>
    <xf numFmtId="0" fontId="3" fillId="5" borderId="0" xfId="0" applyFont="1" applyFill="1"/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9" fillId="0" borderId="19" xfId="0" applyFont="1" applyBorder="1" applyAlignment="1">
      <alignment horizontal="center" wrapText="1"/>
    </xf>
    <xf numFmtId="0" fontId="0" fillId="9" borderId="0" xfId="0" applyFill="1"/>
    <xf numFmtId="0" fontId="17" fillId="9" borderId="0" xfId="1" applyFont="1" applyFill="1" applyBorder="1" applyAlignment="1" applyProtection="1">
      <alignment vertical="center"/>
    </xf>
    <xf numFmtId="0" fontId="0" fillId="9" borderId="0" xfId="0" applyFill="1" applyAlignment="1">
      <alignment horizontal="center"/>
    </xf>
    <xf numFmtId="0" fontId="9" fillId="0" borderId="20" xfId="0" applyFont="1" applyBorder="1" applyAlignment="1">
      <alignment horizontal="left" vertical="center" indent="5"/>
    </xf>
    <xf numFmtId="0" fontId="0" fillId="0" borderId="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7" fillId="0" borderId="21" xfId="0" applyFont="1" applyBorder="1" applyAlignment="1">
      <alignment horizontal="right" vertical="center"/>
    </xf>
    <xf numFmtId="0" fontId="0" fillId="0" borderId="22" xfId="0" applyBorder="1" applyAlignment="1">
      <alignment horizontal="left"/>
    </xf>
    <xf numFmtId="14" fontId="0" fillId="0" borderId="24" xfId="0" applyNumberFormat="1" applyBorder="1" applyAlignment="1">
      <alignment horizontal="left" vertical="center"/>
    </xf>
    <xf numFmtId="4" fontId="0" fillId="0" borderId="24" xfId="0" applyNumberFormat="1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0" fontId="18" fillId="2" borderId="0" xfId="2" applyFill="1" applyAlignment="1">
      <alignment vertical="center"/>
    </xf>
    <xf numFmtId="49" fontId="18" fillId="2" borderId="0" xfId="2" applyNumberFormat="1" applyFill="1" applyAlignment="1">
      <alignment horizontal="center" vertical="center"/>
    </xf>
    <xf numFmtId="0" fontId="12" fillId="2" borderId="0" xfId="2" applyFont="1" applyFill="1" applyAlignment="1">
      <alignment vertical="center"/>
    </xf>
    <xf numFmtId="49" fontId="11" fillId="7" borderId="0" xfId="2" applyNumberFormat="1" applyFont="1" applyFill="1" applyAlignment="1">
      <alignment horizontal="left" vertical="center" indent="2"/>
    </xf>
    <xf numFmtId="0" fontId="19" fillId="2" borderId="0" xfId="2" applyFont="1" applyFill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20" fillId="2" borderId="0" xfId="2" applyFont="1" applyFill="1" applyAlignment="1">
      <alignment vertical="center"/>
    </xf>
    <xf numFmtId="0" fontId="21" fillId="2" borderId="0" xfId="2" applyFont="1" applyFill="1" applyAlignment="1">
      <alignment horizontal="right" vertical="center"/>
    </xf>
    <xf numFmtId="0" fontId="13" fillId="2" borderId="0" xfId="2" applyFont="1" applyFill="1" applyAlignment="1">
      <alignment horizontal="center" vertical="center"/>
    </xf>
    <xf numFmtId="0" fontId="18" fillId="2" borderId="0" xfId="2" applyFill="1"/>
    <xf numFmtId="0" fontId="23" fillId="2" borderId="0" xfId="3" applyFont="1" applyFill="1" applyAlignment="1">
      <alignment vertical="center"/>
    </xf>
    <xf numFmtId="0" fontId="14" fillId="0" borderId="26" xfId="4" applyBorder="1" applyAlignment="1">
      <alignment horizontal="left" wrapText="1" indent="1"/>
    </xf>
    <xf numFmtId="0" fontId="14" fillId="2" borderId="0" xfId="4" applyFill="1"/>
    <xf numFmtId="0" fontId="24" fillId="2" borderId="0" xfId="3" applyFont="1" applyFill="1" applyAlignment="1">
      <alignment vertical="center"/>
    </xf>
    <xf numFmtId="0" fontId="14" fillId="0" borderId="27" xfId="4" applyBorder="1" applyAlignment="1">
      <alignment horizontal="left" indent="1"/>
    </xf>
    <xf numFmtId="0" fontId="14" fillId="0" borderId="27" xfId="4" applyBorder="1" applyAlignment="1">
      <alignment horizontal="left" vertical="center" wrapText="1" indent="1"/>
    </xf>
    <xf numFmtId="0" fontId="14" fillId="0" borderId="27" xfId="4" applyBorder="1" applyAlignment="1">
      <alignment horizontal="left" vertical="top" wrapText="1" indent="2"/>
    </xf>
    <xf numFmtId="0" fontId="25" fillId="2" borderId="0" xfId="3" applyFont="1" applyFill="1" applyAlignment="1">
      <alignment vertical="center"/>
    </xf>
    <xf numFmtId="0" fontId="15" fillId="0" borderId="27" xfId="4" applyFont="1" applyBorder="1" applyAlignment="1">
      <alignment horizontal="left" indent="1"/>
    </xf>
    <xf numFmtId="0" fontId="14" fillId="0" borderId="28" xfId="4" applyBorder="1" applyAlignment="1">
      <alignment horizontal="left" indent="1"/>
    </xf>
    <xf numFmtId="49" fontId="13" fillId="8" borderId="0" xfId="2" applyNumberFormat="1" applyFont="1" applyFill="1" applyAlignment="1">
      <alignment horizontal="left" vertical="center" indent="2"/>
    </xf>
    <xf numFmtId="0" fontId="12" fillId="2" borderId="0" xfId="0" applyFont="1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49" fontId="18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9" fillId="2" borderId="0" xfId="0" applyFont="1" applyFill="1" applyAlignment="1">
      <alignment horizontal="left" vertical="center"/>
    </xf>
    <xf numFmtId="49" fontId="30" fillId="8" borderId="0" xfId="0" applyNumberFormat="1" applyFont="1" applyFill="1" applyAlignment="1">
      <alignment horizontal="left" vertical="center" indent="7"/>
    </xf>
    <xf numFmtId="49" fontId="30" fillId="8" borderId="0" xfId="0" applyNumberFormat="1" applyFont="1" applyFill="1" applyAlignment="1">
      <alignment vertical="center"/>
    </xf>
    <xf numFmtId="0" fontId="30" fillId="8" borderId="0" xfId="0" applyFont="1" applyFill="1" applyAlignment="1">
      <alignment horizontal="center" vertical="center"/>
    </xf>
    <xf numFmtId="14" fontId="10" fillId="2" borderId="30" xfId="0" applyNumberFormat="1" applyFont="1" applyFill="1" applyBorder="1" applyAlignment="1" applyProtection="1">
      <alignment horizontal="center" vertical="center"/>
      <protection hidden="1"/>
    </xf>
    <xf numFmtId="3" fontId="0" fillId="0" borderId="31" xfId="0" applyNumberFormat="1" applyBorder="1" applyAlignment="1" applyProtection="1">
      <alignment horizontal="center" vertical="center"/>
      <protection locked="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4" fillId="2" borderId="33" xfId="0" applyNumberFormat="1" applyFont="1" applyFill="1" applyBorder="1" applyAlignment="1" applyProtection="1">
      <alignment horizontal="center" vertical="center"/>
      <protection hidden="1"/>
    </xf>
    <xf numFmtId="14" fontId="31" fillId="10" borderId="29" xfId="0" applyNumberFormat="1" applyFont="1" applyFill="1" applyBorder="1" applyAlignment="1" applyProtection="1">
      <alignment horizontal="center" vertical="center"/>
      <protection hidden="1"/>
    </xf>
    <xf numFmtId="3" fontId="32" fillId="10" borderId="29" xfId="0" applyNumberFormat="1" applyFont="1" applyFill="1" applyBorder="1" applyAlignment="1" applyProtection="1">
      <alignment horizontal="center" vertical="center"/>
      <protection hidden="1"/>
    </xf>
    <xf numFmtId="14" fontId="31" fillId="10" borderId="35" xfId="0" applyNumberFormat="1" applyFont="1" applyFill="1" applyBorder="1" applyAlignment="1" applyProtection="1">
      <alignment horizontal="center" vertical="center"/>
      <protection hidden="1"/>
    </xf>
    <xf numFmtId="3" fontId="32" fillId="10" borderId="35" xfId="0" applyNumberFormat="1" applyFont="1" applyFill="1" applyBorder="1" applyAlignment="1" applyProtection="1">
      <alignment horizontal="center" vertical="center"/>
      <protection hidden="1"/>
    </xf>
    <xf numFmtId="14" fontId="31" fillId="10" borderId="38" xfId="0" applyNumberFormat="1" applyFont="1" applyFill="1" applyBorder="1" applyAlignment="1" applyProtection="1">
      <alignment horizontal="center" vertical="center"/>
      <protection hidden="1"/>
    </xf>
    <xf numFmtId="3" fontId="32" fillId="10" borderId="38" xfId="0" applyNumberFormat="1" applyFont="1" applyFill="1" applyBorder="1" applyAlignment="1" applyProtection="1">
      <alignment horizontal="center" vertical="center"/>
      <protection hidden="1"/>
    </xf>
    <xf numFmtId="3" fontId="32" fillId="10" borderId="39" xfId="0" applyNumberFormat="1" applyFont="1" applyFill="1" applyBorder="1" applyAlignment="1" applyProtection="1">
      <alignment horizontal="center" vertical="center"/>
      <protection hidden="1"/>
    </xf>
    <xf numFmtId="3" fontId="32" fillId="10" borderId="40" xfId="0" applyNumberFormat="1" applyFont="1" applyFill="1" applyBorder="1" applyAlignment="1" applyProtection="1">
      <alignment horizontal="center" vertical="center"/>
      <protection hidden="1"/>
    </xf>
    <xf numFmtId="3" fontId="32" fillId="10" borderId="41" xfId="0" applyNumberFormat="1" applyFont="1" applyFill="1" applyBorder="1" applyAlignment="1" applyProtection="1">
      <alignment horizontal="center" vertical="center"/>
      <protection hidden="1"/>
    </xf>
    <xf numFmtId="0" fontId="7" fillId="10" borderId="34" xfId="0" applyFont="1" applyFill="1" applyBorder="1" applyAlignment="1">
      <alignment horizontal="right" vertical="center"/>
    </xf>
    <xf numFmtId="3" fontId="31" fillId="10" borderId="35" xfId="0" applyNumberFormat="1" applyFont="1" applyFill="1" applyBorder="1" applyAlignment="1">
      <alignment horizontal="center" vertical="center"/>
    </xf>
    <xf numFmtId="0" fontId="7" fillId="10" borderId="36" xfId="0" applyFont="1" applyFill="1" applyBorder="1" applyAlignment="1">
      <alignment horizontal="right" vertical="center"/>
    </xf>
    <xf numFmtId="3" fontId="31" fillId="10" borderId="29" xfId="0" applyNumberFormat="1" applyFont="1" applyFill="1" applyBorder="1" applyAlignment="1">
      <alignment horizontal="center" vertical="center"/>
    </xf>
    <xf numFmtId="0" fontId="7" fillId="10" borderId="37" xfId="0" applyFont="1" applyFill="1" applyBorder="1" applyAlignment="1">
      <alignment horizontal="right" vertical="center"/>
    </xf>
    <xf numFmtId="3" fontId="31" fillId="10" borderId="38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4AB996A4-4C6B-4586-8D26-39FBDA3E6E48}"/>
    <cellStyle name="Normal 2 2" xfId="3" xr:uid="{5800AC03-4AAF-4986-A25D-7F1FA31059F3}"/>
    <cellStyle name="Normal 3 2" xfId="4" xr:uid="{BB1B27A0-6738-4181-A584-0D073A92A496}"/>
  </cellStyles>
  <dxfs count="0"/>
  <tableStyles count="0" defaultTableStyle="TableStyleMedium2" defaultPivotStyle="PivotStyleLight16"/>
  <colors>
    <mruColors>
      <color rgb="FF44546A"/>
      <color rgb="FFCCCCCC"/>
      <color rgb="FFA6A6A6"/>
      <color rgb="FF333F4F"/>
      <color rgb="FF565264"/>
      <color rgb="FFA68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652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28-4E36-AC3F-71635C646A6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28-4E36-AC3F-71635C646A69}"/>
              </c:ext>
            </c:extLst>
          </c:dPt>
          <c:val>
            <c:numRef>
              <c:f>Calc!$U$8:$V$8</c:f>
              <c:numCache>
                <c:formatCode>#,##0</c:formatCode>
                <c:ptCount val="2"/>
                <c:pt idx="0">
                  <c:v>81.888888888888886</c:v>
                </c:pt>
                <c:pt idx="1">
                  <c:v>18.111111111111114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28-4E36-AC3F-71635C646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68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8-48E8-86F3-7C6DA4880E0E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8-48E8-86F3-7C6DA4880E0E}"/>
              </c:ext>
            </c:extLst>
          </c:dPt>
          <c:val>
            <c:numRef>
              <c:f>Calc!$U$9:$V$9</c:f>
              <c:numCache>
                <c:formatCode>#,##0</c:formatCode>
                <c:ptCount val="2"/>
                <c:pt idx="0">
                  <c:v>90.909090909090907</c:v>
                </c:pt>
                <c:pt idx="1">
                  <c:v>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68-48E8-86F3-7C6DA4880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652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62-4326-9643-7E02FC9C7A4A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62-4326-9643-7E02FC9C7A4A}"/>
              </c:ext>
            </c:extLst>
          </c:dPt>
          <c:val>
            <c:numRef>
              <c:f>Calc!$U$10:$V$10</c:f>
              <c:numCache>
                <c:formatCode>#,##0</c:formatCode>
                <c:ptCount val="2"/>
                <c:pt idx="0">
                  <c:v>63.333333333333329</c:v>
                </c:pt>
                <c:pt idx="1">
                  <c:v>36.666666666666671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62-4326-9643-7E02FC9C7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68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4-4CFC-845D-6691005E6AFD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4-4CFC-845D-6691005E6AFD}"/>
              </c:ext>
            </c:extLst>
          </c:dPt>
          <c:val>
            <c:numRef>
              <c:f>Calc!$U$11:$V$11</c:f>
              <c:numCache>
                <c:formatCode>#,##0</c:formatCode>
                <c:ptCount val="2"/>
                <c:pt idx="0">
                  <c:v>105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54-4CFC-845D-6691005E6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652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7-4C17-82E6-9FD7B897BD6C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7-4C17-82E6-9FD7B897BD6C}"/>
              </c:ext>
            </c:extLst>
          </c:dPt>
          <c:val>
            <c:numRef>
              <c:f>Calc!$U$12:$V$12</c:f>
              <c:numCache>
                <c:formatCode>#,##0</c:formatCode>
                <c:ptCount val="2"/>
                <c:pt idx="0">
                  <c:v>83.333333333333343</c:v>
                </c:pt>
                <c:pt idx="1">
                  <c:v>16.666666666666657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D7-4C17-82E6-9FD7B897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68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F3-45BA-810D-F112CBC683C6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F3-45BA-810D-F112CBC683C6}"/>
              </c:ext>
            </c:extLst>
          </c:dPt>
          <c:val>
            <c:numRef>
              <c:f>Calc!$U$13:$V$13</c:f>
              <c:numCache>
                <c:formatCode>#,##0</c:formatCode>
                <c:ptCount val="2"/>
                <c:pt idx="0">
                  <c:v>62.5</c:v>
                </c:pt>
                <c:pt idx="1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3-45BA-810D-F112CBC68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652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94-4116-9F0B-FA5C43CAC3F5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94-4116-9F0B-FA5C43CAC3F5}"/>
              </c:ext>
            </c:extLst>
          </c:dPt>
          <c:val>
            <c:numRef>
              <c:f>Calc!$U$14:$V$14</c:f>
              <c:numCache>
                <c:formatCode>#,##0</c:formatCode>
                <c:ptCount val="2"/>
                <c:pt idx="0">
                  <c:v>110.00000000000001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94-4116-9F0B-FA5C43CAC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68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A4-4399-A45F-244E67D6FD54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A4-4399-A45F-244E67D6FD54}"/>
              </c:ext>
            </c:extLst>
          </c:dPt>
          <c:val>
            <c:numRef>
              <c:f>Calc!$U$15:$V$15</c:f>
              <c:numCache>
                <c:formatCode>#,##0</c:formatCode>
                <c:ptCount val="2"/>
                <c:pt idx="0">
                  <c:v>86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A4-4399-A45F-244E67D6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652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D-48B9-B3CA-B42F0625639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D-48B9-B3CA-B42F06256391}"/>
              </c:ext>
            </c:extLst>
          </c:dPt>
          <c:val>
            <c:numRef>
              <c:f>Calc!$U$16:$V$16</c:f>
              <c:numCache>
                <c:formatCode>#,##0</c:formatCode>
                <c:ptCount val="2"/>
                <c:pt idx="0">
                  <c:v>92.5</c:v>
                </c:pt>
                <c:pt idx="1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D-48B9-B3CA-B42F06256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68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2F-4676-A4D5-17E0A361199B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2F-4676-A4D5-17E0A361199B}"/>
              </c:ext>
            </c:extLst>
          </c:dPt>
          <c:val>
            <c:numRef>
              <c:f>Calc!$U$17:$V$17</c:f>
              <c:numCache>
                <c:formatCode>#,##0</c:formatCode>
                <c:ptCount val="2"/>
                <c:pt idx="0">
                  <c:v>83.888888888888886</c:v>
                </c:pt>
                <c:pt idx="1">
                  <c:v>16.111111111111114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2F-4676-A4D5-17E0A3611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.png"/><Relationship Id="rId7" Type="http://schemas.openxmlformats.org/officeDocument/2006/relationships/hyperlink" Target="https://www.someka.net/products/weekly-kpi-report-excel-template/?utm_source=someka_file&amp;open=1" TargetMode="External"/><Relationship Id="rId2" Type="http://schemas.openxmlformats.org/officeDocument/2006/relationships/hyperlink" Target="#Menu!A5"/><Relationship Id="rId1" Type="http://schemas.openxmlformats.org/officeDocument/2006/relationships/hyperlink" Target="#Report!D9"/><Relationship Id="rId6" Type="http://schemas.openxmlformats.org/officeDocument/2006/relationships/hyperlink" Target="#ToU!A4"/><Relationship Id="rId5" Type="http://schemas.openxmlformats.org/officeDocument/2006/relationships/image" Target="../media/image2.png"/><Relationship Id="rId4" Type="http://schemas.openxmlformats.org/officeDocument/2006/relationships/hyperlink" Target="https://www.someka.net/?utm_source=someka&amp;utm_medium=excel&amp;utm_campaign=file_weekly-kpi-report-excel-template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Menu!A5"/><Relationship Id="rId17" Type="http://schemas.openxmlformats.org/officeDocument/2006/relationships/image" Target="../media/image4.png"/><Relationship Id="rId2" Type="http://schemas.openxmlformats.org/officeDocument/2006/relationships/chart" Target="../charts/chart2.xml"/><Relationship Id="rId16" Type="http://schemas.openxmlformats.org/officeDocument/2006/relationships/hyperlink" Target="https://www.someka.net/products/weekly-kpi-report-excel-template/?utm_source=someka_file&amp;open=1" TargetMode="Externa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#Report!D9"/><Relationship Id="rId5" Type="http://schemas.openxmlformats.org/officeDocument/2006/relationships/chart" Target="../charts/chart5.xml"/><Relationship Id="rId15" Type="http://schemas.openxmlformats.org/officeDocument/2006/relationships/image" Target="../media/image2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hyperlink" Target="https://www.someka.net/?utm_source=someka&amp;utm_medium=excel&amp;utm_campaign=file_weekly-kpi-report-excel-template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meka.net/?utm_source=someka&amp;utm_medium=excel&amp;utm_campaign=file_termsofuse" TargetMode="External"/><Relationship Id="rId2" Type="http://schemas.openxmlformats.org/officeDocument/2006/relationships/image" Target="../media/image5.png"/><Relationship Id="rId1" Type="http://schemas.openxmlformats.org/officeDocument/2006/relationships/hyperlink" Target="#Menu!A5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19</xdr:row>
      <xdr:rowOff>95250</xdr:rowOff>
    </xdr:from>
    <xdr:to>
      <xdr:col>6</xdr:col>
      <xdr:colOff>866775</xdr:colOff>
      <xdr:row>19</xdr:row>
      <xdr:rowOff>276225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3118042D-BA38-BD19-1073-ACDDC44AE570}"/>
            </a:ext>
          </a:extLst>
        </xdr:cNvPr>
        <xdr:cNvSpPr/>
      </xdr:nvSpPr>
      <xdr:spPr>
        <a:xfrm>
          <a:off x="10315575" y="6486525"/>
          <a:ext cx="295275" cy="180975"/>
        </a:xfrm>
        <a:prstGeom prst="triangle">
          <a:avLst/>
        </a:prstGeom>
        <a:solidFill>
          <a:srgbClr val="56526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571500</xdr:colOff>
      <xdr:row>19</xdr:row>
      <xdr:rowOff>95250</xdr:rowOff>
    </xdr:from>
    <xdr:to>
      <xdr:col>5</xdr:col>
      <xdr:colOff>866775</xdr:colOff>
      <xdr:row>19</xdr:row>
      <xdr:rowOff>276225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14DCC7C-26E7-443F-A482-53D499C52FE3}"/>
            </a:ext>
          </a:extLst>
        </xdr:cNvPr>
        <xdr:cNvSpPr/>
      </xdr:nvSpPr>
      <xdr:spPr>
        <a:xfrm>
          <a:off x="8696325" y="6486525"/>
          <a:ext cx="295275" cy="180975"/>
        </a:xfrm>
        <a:prstGeom prst="triangle">
          <a:avLst/>
        </a:prstGeom>
        <a:solidFill>
          <a:srgbClr val="56526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180975</xdr:colOff>
      <xdr:row>6</xdr:row>
      <xdr:rowOff>47625</xdr:rowOff>
    </xdr:from>
    <xdr:to>
      <xdr:col>4</xdr:col>
      <xdr:colOff>361950</xdr:colOff>
      <xdr:row>7</xdr:row>
      <xdr:rowOff>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BD4F157B-0AC3-4768-A77F-CB42FAAFEA85}"/>
            </a:ext>
          </a:extLst>
        </xdr:cNvPr>
        <xdr:cNvSpPr/>
      </xdr:nvSpPr>
      <xdr:spPr>
        <a:xfrm rot="16200000">
          <a:off x="5372100" y="1543050"/>
          <a:ext cx="295275" cy="180975"/>
        </a:xfrm>
        <a:prstGeom prst="triangle">
          <a:avLst/>
        </a:prstGeom>
        <a:solidFill>
          <a:srgbClr val="56526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847725</xdr:colOff>
      <xdr:row>1</xdr:row>
      <xdr:rowOff>95250</xdr:rowOff>
    </xdr:from>
    <xdr:to>
      <xdr:col>4</xdr:col>
      <xdr:colOff>2165351</xdr:colOff>
      <xdr:row>2</xdr:row>
      <xdr:rowOff>209550</xdr:rowOff>
    </xdr:to>
    <xdr:sp macro="" textlink="">
      <xdr:nvSpPr>
        <xdr:cNvPr id="7" name="Rectangle: Rounded Corners 6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D0977195-555F-51AC-ADA8-294EB4496BF6}"/>
            </a:ext>
          </a:extLst>
        </xdr:cNvPr>
        <xdr:cNvSpPr/>
      </xdr:nvSpPr>
      <xdr:spPr>
        <a:xfrm>
          <a:off x="6048375" y="180975"/>
          <a:ext cx="1317626" cy="361950"/>
        </a:xfrm>
        <a:prstGeom prst="roundRect">
          <a:avLst/>
        </a:prstGeom>
        <a:solidFill>
          <a:srgbClr val="565264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tr-TR" sz="1400" b="0"/>
            <a:t>KPI REPORT</a:t>
          </a:r>
          <a:endParaRPr lang="en-US" sz="1400" b="0"/>
        </a:p>
      </xdr:txBody>
    </xdr:sp>
    <xdr:clientData/>
  </xdr:twoCellAnchor>
  <xdr:twoCellAnchor editAs="oneCell">
    <xdr:from>
      <xdr:col>3</xdr:col>
      <xdr:colOff>1609725</xdr:colOff>
      <xdr:row>1</xdr:row>
      <xdr:rowOff>95251</xdr:rowOff>
    </xdr:from>
    <xdr:to>
      <xdr:col>4</xdr:col>
      <xdr:colOff>639714</xdr:colOff>
      <xdr:row>2</xdr:row>
      <xdr:rowOff>209551</xdr:rowOff>
    </xdr:to>
    <xdr:sp macro="" textlink="">
      <xdr:nvSpPr>
        <xdr:cNvPr id="8" name="Rectangle: Rounded Corners 7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0A7AB3BB-C320-4B08-A998-41F9A157B5EB}"/>
            </a:ext>
          </a:extLst>
        </xdr:cNvPr>
        <xdr:cNvSpPr/>
      </xdr:nvSpPr>
      <xdr:spPr>
        <a:xfrm>
          <a:off x="4524375" y="180976"/>
          <a:ext cx="1315989" cy="361950"/>
        </a:xfrm>
        <a:prstGeom prst="roundRect">
          <a:avLst/>
        </a:prstGeom>
        <a:solidFill>
          <a:srgbClr val="A6808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tr-TR" sz="1400" b="0"/>
            <a:t>MENU</a:t>
          </a:r>
          <a:endParaRPr lang="en-US" sz="1400" b="0"/>
        </a:p>
      </xdr:txBody>
    </xdr:sp>
    <xdr:clientData/>
  </xdr:twoCellAnchor>
  <xdr:twoCellAnchor editAs="oneCell">
    <xdr:from>
      <xdr:col>1</xdr:col>
      <xdr:colOff>85725</xdr:colOff>
      <xdr:row>1</xdr:row>
      <xdr:rowOff>66675</xdr:rowOff>
    </xdr:from>
    <xdr:to>
      <xdr:col>2</xdr:col>
      <xdr:colOff>136725</xdr:colOff>
      <xdr:row>2</xdr:row>
      <xdr:rowOff>251025</xdr:rowOff>
    </xdr:to>
    <xdr:pic>
      <xdr:nvPicPr>
        <xdr:cNvPr id="2" name="mainicon">
          <a:extLst>
            <a:ext uri="{FF2B5EF4-FFF2-40B4-BE49-F238E27FC236}">
              <a16:creationId xmlns:a16="http://schemas.microsoft.com/office/drawing/2014/main" id="{B63ED29B-1ACC-4A43-B127-9E587BED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3375" y="1390650"/>
          <a:ext cx="432000" cy="43200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5</xdr:row>
      <xdr:rowOff>153330</xdr:rowOff>
    </xdr:from>
    <xdr:ext cx="2867025" cy="3967799"/>
    <xdr:sp macro="" textlink="">
      <xdr:nvSpPr>
        <xdr:cNvPr id="11" name="yellownotes">
          <a:extLst>
            <a:ext uri="{FF2B5EF4-FFF2-40B4-BE49-F238E27FC236}">
              <a16:creationId xmlns:a16="http://schemas.microsoft.com/office/drawing/2014/main" id="{89657539-C729-4CA4-9BE8-859A75004FCD}"/>
            </a:ext>
          </a:extLst>
        </xdr:cNvPr>
        <xdr:cNvSpPr txBox="1"/>
      </xdr:nvSpPr>
      <xdr:spPr>
        <a:xfrm>
          <a:off x="12249150" y="886755"/>
          <a:ext cx="2867025" cy="3967799"/>
        </a:xfrm>
        <a:prstGeom prst="rect">
          <a:avLst/>
        </a:prstGeom>
        <a:solidFill>
          <a:srgbClr val="FFE699"/>
        </a:solidFill>
        <a:ln w="3175" cmpd="sng">
          <a:solidFill>
            <a:schemeClr val="bg1">
              <a:lumMod val="7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72000" rIns="36000" bIns="72000" rtlCol="0" anchor="ctr">
          <a:spAutoFit/>
        </a:bodyPr>
        <a:lstStyle/>
        <a:p>
          <a:pPr marL="0" indent="0">
            <a:lnSpc>
              <a:spcPts val="1100"/>
            </a:lnSpc>
            <a:spcAft>
              <a:spcPts val="600"/>
            </a:spcAft>
            <a:buFont typeface="Arial" panose="020B0604020202020204" pitchFamily="34" charset="0"/>
            <a:buNone/>
          </a:pP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HOW TO USE TEMPLATE?</a:t>
          </a:r>
        </a:p>
        <a:p>
          <a:pPr marL="0" indent="0">
            <a:lnSpc>
              <a:spcPts val="1100"/>
            </a:lnSpc>
            <a:spcAft>
              <a:spcPts val="600"/>
            </a:spcAft>
            <a:buFont typeface="Arial" panose="020B0604020202020204" pitchFamily="34" charset="0"/>
            <a:buNone/>
          </a:pPr>
          <a:endParaRPr lang="tr-TR" sz="1000" b="1" i="1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pPr marL="0" indent="0">
            <a:lnSpc>
              <a:spcPts val="1100"/>
            </a:lnSpc>
            <a:spcAft>
              <a:spcPts val="600"/>
            </a:spcAft>
            <a:buFont typeface="Arial" panose="020B0604020202020204" pitchFamily="34" charset="0"/>
            <a:buNone/>
          </a:pP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Settings:</a:t>
          </a:r>
          <a:endParaRPr lang="en-US" sz="1000" b="1" i="1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Start with defining the </a:t>
          </a: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Start Date </a:t>
          </a: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of your template. The file will be valid for 52 weeks from the date selected.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Please define your </a:t>
          </a: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KPI metrics </a:t>
          </a: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with KPI Group info.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Explanation</a:t>
          </a: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 column is optional.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Please define </a:t>
          </a: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your calculation method </a:t>
          </a: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as Sum or Average. This will be used to calculate cumulative charts.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Please define </a:t>
          </a: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</a:rPr>
            <a:t>your aim </a:t>
          </a: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for each metric. If higher is better for a metric, select "Higher". But if it's better to have a lower number for any metric, then select "Lower".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endParaRPr lang="tr-TR" sz="1000" i="1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pPr marL="0" indent="0">
            <a:lnSpc>
              <a:spcPts val="1100"/>
            </a:lnSpc>
            <a:spcAft>
              <a:spcPts val="600"/>
            </a:spcAft>
            <a:buFont typeface="Arial" panose="020B0604020202020204" pitchFamily="34" charset="0"/>
            <a:buNone/>
          </a:pPr>
          <a:r>
            <a:rPr lang="tr-TR" sz="1000" b="1" i="1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rPr>
            <a:t>Report: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Input your weekly targets and actuals.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The doughnut charts will give you the cumulative summary for each metric.</a:t>
          </a:r>
        </a:p>
        <a:p>
          <a:pPr marL="108000" indent="-108000">
            <a:lnSpc>
              <a:spcPts val="1100"/>
            </a:lnSpc>
            <a:spcAft>
              <a:spcPts val="400"/>
            </a:spcAft>
            <a:buFont typeface="Arial" panose="020B0604020202020204" pitchFamily="34" charset="0"/>
            <a:buChar char="•"/>
          </a:pPr>
          <a:r>
            <a:rPr lang="tr-TR" sz="1000" i="1" baseline="0">
              <a:solidFill>
                <a:schemeClr val="tx1">
                  <a:lumMod val="85000"/>
                  <a:lumOff val="15000"/>
                </a:schemeClr>
              </a:solidFill>
            </a:rPr>
            <a:t>The icons on the left side will help you understand your Target vs Actual situation.</a:t>
          </a:r>
        </a:p>
      </xdr:txBody>
    </xdr:sp>
    <xdr:clientData fPrintsWithSheet="0"/>
  </xdr:oneCellAnchor>
  <xdr:twoCellAnchor editAs="oneCell">
    <xdr:from>
      <xdr:col>6</xdr:col>
      <xdr:colOff>390525</xdr:colOff>
      <xdr:row>1</xdr:row>
      <xdr:rowOff>95249</xdr:rowOff>
    </xdr:from>
    <xdr:to>
      <xdr:col>7</xdr:col>
      <xdr:colOff>150355</xdr:colOff>
      <xdr:row>2</xdr:row>
      <xdr:rowOff>139199</xdr:rowOff>
    </xdr:to>
    <xdr:pic>
      <xdr:nvPicPr>
        <xdr:cNvPr id="16" name="somekalogo">
          <a:hlinkClick xmlns:r="http://schemas.openxmlformats.org/officeDocument/2006/relationships" r:id="rId4" tooltip="Someka"/>
          <a:extLst>
            <a:ext uri="{FF2B5EF4-FFF2-40B4-BE49-F238E27FC236}">
              <a16:creationId xmlns:a16="http://schemas.microsoft.com/office/drawing/2014/main" id="{B3651A33-DAE4-48CB-B46D-930758BC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0974"/>
          <a:ext cx="1474330" cy="2916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580005</xdr:colOff>
      <xdr:row>22</xdr:row>
      <xdr:rowOff>281281</xdr:rowOff>
    </xdr:to>
    <xdr:sp macro="" textlink="">
      <xdr:nvSpPr>
        <xdr:cNvPr id="3" name="termsbox">
          <a:hlinkClick xmlns:r="http://schemas.openxmlformats.org/officeDocument/2006/relationships" r:id="rId6" tooltip="Terms of Use"/>
          <a:extLst>
            <a:ext uri="{FF2B5EF4-FFF2-40B4-BE49-F238E27FC236}">
              <a16:creationId xmlns:a16="http://schemas.microsoft.com/office/drawing/2014/main" id="{7F95800A-9773-4809-AB64-51AA2BEE3D9B}"/>
            </a:ext>
          </a:extLst>
        </xdr:cNvPr>
        <xdr:cNvSpPr/>
      </xdr:nvSpPr>
      <xdr:spPr>
        <a:xfrm>
          <a:off x="247650" y="6467475"/>
          <a:ext cx="961005" cy="281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08000" tIns="54000" rIns="108000" bIns="54000" rtlCol="0" anchor="t">
          <a:spAutoFit/>
        </a:bodyPr>
        <a:lstStyle/>
        <a:p>
          <a:pPr algn="l"/>
          <a:r>
            <a:rPr lang="tr-TR" sz="1100" i="1" u="sng">
              <a:solidFill>
                <a:schemeClr val="bg1">
                  <a:lumMod val="95000"/>
                </a:schemeClr>
              </a:solidFill>
            </a:rPr>
            <a:t>Terms of Use</a:t>
          </a:r>
        </a:p>
      </xdr:txBody>
    </xdr:sp>
    <xdr:clientData fPrintsWithSheet="0"/>
  </xdr:twoCellAnchor>
  <xdr:twoCellAnchor editAs="oneCell">
    <xdr:from>
      <xdr:col>6</xdr:col>
      <xdr:colOff>656351</xdr:colOff>
      <xdr:row>22</xdr:row>
      <xdr:rowOff>0</xdr:rowOff>
    </xdr:from>
    <xdr:to>
      <xdr:col>8</xdr:col>
      <xdr:colOff>0</xdr:colOff>
      <xdr:row>22</xdr:row>
      <xdr:rowOff>281281</xdr:rowOff>
    </xdr:to>
    <xdr:sp macro="" textlink="">
      <xdr:nvSpPr>
        <xdr:cNvPr id="9" name="contactinfobox">
          <a:extLst>
            <a:ext uri="{FF2B5EF4-FFF2-40B4-BE49-F238E27FC236}">
              <a16:creationId xmlns:a16="http://schemas.microsoft.com/office/drawing/2014/main" id="{2D1AD24B-3F5D-48F5-AFDF-60E71954F4CA}"/>
            </a:ext>
          </a:extLst>
        </xdr:cNvPr>
        <xdr:cNvSpPr txBox="1"/>
      </xdr:nvSpPr>
      <xdr:spPr>
        <a:xfrm>
          <a:off x="10429001" y="7172325"/>
          <a:ext cx="1439149" cy="281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108000" tIns="54000" rIns="108000" bIns="54000" rtlCol="0" anchor="t">
          <a:spAutoFit/>
        </a:bodyPr>
        <a:lstStyle/>
        <a:p>
          <a:pPr algn="r"/>
          <a:r>
            <a:rPr lang="tr-TR" sz="1100" i="1">
              <a:solidFill>
                <a:schemeClr val="bg1">
                  <a:lumMod val="95000"/>
                </a:schemeClr>
              </a:solidFill>
            </a:rPr>
            <a:t>contact@someka.net</a:t>
          </a:r>
        </a:p>
      </xdr:txBody>
    </xdr:sp>
    <xdr:clientData/>
  </xdr:twoCellAnchor>
  <xdr:twoCellAnchor editAs="oneCell">
    <xdr:from>
      <xdr:col>9</xdr:col>
      <xdr:colOff>0</xdr:colOff>
      <xdr:row>1</xdr:row>
      <xdr:rowOff>76200</xdr:rowOff>
    </xdr:from>
    <xdr:to>
      <xdr:col>11</xdr:col>
      <xdr:colOff>199800</xdr:colOff>
      <xdr:row>2</xdr:row>
      <xdr:rowOff>200025</xdr:rowOff>
    </xdr:to>
    <xdr:grpSp>
      <xdr:nvGrpSpPr>
        <xdr:cNvPr id="10" name="buybutton">
          <a:hlinkClick xmlns:r="http://schemas.openxmlformats.org/officeDocument/2006/relationships" r:id="rId7" tooltip="Get Full Version"/>
          <a:extLst>
            <a:ext uri="{FF2B5EF4-FFF2-40B4-BE49-F238E27FC236}">
              <a16:creationId xmlns:a16="http://schemas.microsoft.com/office/drawing/2014/main" id="{2B7BBC70-B897-45B1-B556-C7703C95B7D6}"/>
            </a:ext>
          </a:extLst>
        </xdr:cNvPr>
        <xdr:cNvGrpSpPr>
          <a:grpSpLocks/>
        </xdr:cNvGrpSpPr>
      </xdr:nvGrpSpPr>
      <xdr:grpSpPr>
        <a:xfrm>
          <a:off x="12249150" y="161925"/>
          <a:ext cx="1800000" cy="371475"/>
          <a:chOff x="4160526" y="356290"/>
          <a:chExt cx="2073334" cy="396001"/>
        </a:xfrm>
      </xdr:grpSpPr>
      <xdr:sp macro="" textlink="">
        <xdr:nvSpPr>
          <xdr:cNvPr id="12" name="Rectangle: Rounded Corners 11">
            <a:hlinkClick xmlns:r="http://schemas.openxmlformats.org/officeDocument/2006/relationships" r:id="rId7" tooltip="Get Full Version"/>
            <a:extLst>
              <a:ext uri="{FF2B5EF4-FFF2-40B4-BE49-F238E27FC236}">
                <a16:creationId xmlns:a16="http://schemas.microsoft.com/office/drawing/2014/main" id="{E5C4FF6D-C3BC-7456-3222-E5F5BDCE03CF}"/>
              </a:ext>
            </a:extLst>
          </xdr:cNvPr>
          <xdr:cNvSpPr/>
        </xdr:nvSpPr>
        <xdr:spPr>
          <a:xfrm>
            <a:off x="4160526" y="356290"/>
            <a:ext cx="2073334" cy="396001"/>
          </a:xfrm>
          <a:prstGeom prst="roundRect">
            <a:avLst/>
          </a:prstGeom>
          <a:solidFill>
            <a:srgbClr val="ED7D31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lIns="360000" tIns="0" rIns="36000" bIns="18000" rtlCol="0" anchor="ctr">
            <a:noAutofit/>
          </a:bodyPr>
          <a:lstStyle/>
          <a:p>
            <a:pPr algn="ctr">
              <a:lnSpc>
                <a:spcPts val="1050"/>
              </a:lnSpc>
            </a:pPr>
            <a:r>
              <a:rPr lang="tr-TR" sz="800" b="0">
                <a:solidFill>
                  <a:srgbClr val="FDFDFD"/>
                </a:solidFill>
                <a:effectLst>
                  <a:outerShdw blurRad="50800" dist="50800" dir="18900000" algn="bl" rotWithShape="0">
                    <a:prstClr val="black">
                      <a:alpha val="50000"/>
                    </a:prstClr>
                  </a:outerShdw>
                </a:effectLst>
                <a:latin typeface="Arial" panose="020B0604020202020204" pitchFamily="34" charset="0"/>
                <a:cs typeface="Arial" panose="020B0604020202020204" pitchFamily="34" charset="0"/>
              </a:rPr>
              <a:t>GET </a:t>
            </a:r>
            <a:r>
              <a:rPr lang="en-US" sz="800" b="0">
                <a:solidFill>
                  <a:srgbClr val="FDFDFD"/>
                </a:solidFill>
                <a:effectLst>
                  <a:outerShdw blurRad="50800" dist="50800" dir="18900000" algn="bl" rotWithShape="0">
                    <a:prstClr val="black">
                      <a:alpha val="50000"/>
                    </a:prstClr>
                  </a:outerShdw>
                </a:effectLst>
                <a:latin typeface="Arial" panose="020B0604020202020204" pitchFamily="34" charset="0"/>
                <a:cs typeface="Arial" panose="020B0604020202020204" pitchFamily="34" charset="0"/>
              </a:rPr>
              <a:t>FULL </a:t>
            </a:r>
            <a:r>
              <a:rPr lang="tr-TR" sz="800" b="0">
                <a:solidFill>
                  <a:srgbClr val="FDFDFD"/>
                </a:solidFill>
                <a:effectLst>
                  <a:outerShdw blurRad="50800" dist="50800" dir="18900000" algn="bl" rotWithShape="0">
                    <a:prstClr val="black">
                      <a:alpha val="50000"/>
                    </a:prstClr>
                  </a:outerShdw>
                </a:effectLst>
                <a:latin typeface="Arial" panose="020B0604020202020204" pitchFamily="34" charset="0"/>
                <a:cs typeface="Arial" panose="020B0604020202020204" pitchFamily="34" charset="0"/>
              </a:rPr>
              <a:t>VERSION</a:t>
            </a:r>
          </a:p>
          <a:p>
            <a:pPr algn="ctr">
              <a:lnSpc>
                <a:spcPts val="1050"/>
              </a:lnSpc>
            </a:pPr>
            <a:r>
              <a:rPr lang="tr-TR" sz="800" b="0">
                <a:solidFill>
                  <a:srgbClr val="FDFDFD"/>
                </a:solidFill>
                <a:effectLst>
                  <a:outerShdw blurRad="50800" dist="50800" dir="18900000" algn="bl" rotWithShape="0">
                    <a:prstClr val="black">
                      <a:alpha val="50000"/>
                    </a:prstClr>
                  </a:outerShdw>
                </a:effectLst>
                <a:latin typeface="Arial" panose="020B0604020202020204" pitchFamily="34" charset="0"/>
                <a:cs typeface="Arial" panose="020B0604020202020204" pitchFamily="34" charset="0"/>
              </a:rPr>
              <a:t>WITH PASSWORD</a:t>
            </a:r>
          </a:p>
        </xdr:txBody>
      </xdr:sp>
      <xdr:pic>
        <xdr:nvPicPr>
          <xdr:cNvPr id="13" name="Picture 12">
            <a:hlinkClick xmlns:r="http://schemas.openxmlformats.org/officeDocument/2006/relationships" r:id="rId7" tooltip="Get Full Version"/>
            <a:extLst>
              <a:ext uri="{FF2B5EF4-FFF2-40B4-BE49-F238E27FC236}">
                <a16:creationId xmlns:a16="http://schemas.microsoft.com/office/drawing/2014/main" id="{D3FA6C8D-EF95-4A4C-F5E4-8BC75D661BA9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294080" y="391160"/>
            <a:ext cx="315147" cy="291664"/>
          </a:xfrm>
          <a:prstGeom prst="rect">
            <a:avLst/>
          </a:prstGeom>
          <a:effectLst>
            <a:outerShdw blurRad="12700" dist="25400" dir="8100000" algn="tr" rotWithShape="0">
              <a:prstClr val="black">
                <a:alpha val="40000"/>
              </a:prstClr>
            </a:outerShdw>
          </a:effectLst>
        </xdr:spPr>
      </xdr:pic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94875</xdr:colOff>
      <xdr:row>4</xdr:row>
      <xdr:rowOff>190126</xdr:rowOff>
    </xdr:from>
    <xdr:to>
      <xdr:col>5</xdr:col>
      <xdr:colOff>190875</xdr:colOff>
      <xdr:row>5</xdr:row>
      <xdr:rowOff>1619626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7DFDF-473E-48DC-9A43-7456EBBBD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1042987</xdr:colOff>
      <xdr:row>5</xdr:row>
      <xdr:rowOff>576264</xdr:rowOff>
    </xdr:from>
    <xdr:to>
      <xdr:col>5</xdr:col>
      <xdr:colOff>280987</xdr:colOff>
      <xdr:row>5</xdr:row>
      <xdr:rowOff>1042989</xdr:rowOff>
    </xdr:to>
    <xdr:sp macro="" textlink="Calc!U8">
      <xdr:nvSpPr>
        <xdr:cNvPr id="5" name="TextBox 4">
          <a:extLst>
            <a:ext uri="{FF2B5EF4-FFF2-40B4-BE49-F238E27FC236}">
              <a16:creationId xmlns:a16="http://schemas.microsoft.com/office/drawing/2014/main" id="{365E16F5-E64D-80A4-3FE7-595B61825743}"/>
            </a:ext>
          </a:extLst>
        </xdr:cNvPr>
        <xdr:cNvSpPr txBox="1"/>
      </xdr:nvSpPr>
      <xdr:spPr>
        <a:xfrm>
          <a:off x="1900237" y="1824039"/>
          <a:ext cx="18097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fld id="{9ADE500F-A226-4569-9A11-2EF50735974B}" type="TxLink">
            <a:rPr lang="en-US" sz="1800" b="1" i="0" u="none" strike="noStrike">
              <a:solidFill>
                <a:srgbClr val="565264"/>
              </a:solidFill>
              <a:latin typeface="Aptos Narrow"/>
            </a:rPr>
            <a:pPr algn="ctr"/>
            <a:t>82</a:t>
          </a:fld>
          <a:endParaRPr lang="en-US" sz="1800" b="1">
            <a:solidFill>
              <a:srgbClr val="565264"/>
            </a:solidFill>
          </a:endParaRPr>
        </a:p>
      </xdr:txBody>
    </xdr:sp>
    <xdr:clientData/>
  </xdr:twoCellAnchor>
  <xdr:twoCellAnchor editAs="oneCell">
    <xdr:from>
      <xdr:col>6</xdr:col>
      <xdr:colOff>94875</xdr:colOff>
      <xdr:row>4</xdr:row>
      <xdr:rowOff>190125</xdr:rowOff>
    </xdr:from>
    <xdr:to>
      <xdr:col>8</xdr:col>
      <xdr:colOff>190875</xdr:colOff>
      <xdr:row>5</xdr:row>
      <xdr:rowOff>1619625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897E7A-ECE6-425A-AAA8-30AE70225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</xdr:row>
      <xdr:rowOff>1</xdr:rowOff>
    </xdr:from>
    <xdr:to>
      <xdr:col>11</xdr:col>
      <xdr:colOff>96000</xdr:colOff>
      <xdr:row>5</xdr:row>
      <xdr:rowOff>1620001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A8F5D8-C7B4-4232-936C-CF2D6974B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5</xdr:row>
      <xdr:rowOff>0</xdr:rowOff>
    </xdr:from>
    <xdr:to>
      <xdr:col>14</xdr:col>
      <xdr:colOff>96000</xdr:colOff>
      <xdr:row>5</xdr:row>
      <xdr:rowOff>1620000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7DDC40-0D02-4263-82CF-A2F4374FC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5</xdr:row>
      <xdr:rowOff>1</xdr:rowOff>
    </xdr:from>
    <xdr:to>
      <xdr:col>17</xdr:col>
      <xdr:colOff>96000</xdr:colOff>
      <xdr:row>5</xdr:row>
      <xdr:rowOff>1620001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D46CF7-D71E-46AA-AC6F-C19B1247C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5</xdr:row>
      <xdr:rowOff>0</xdr:rowOff>
    </xdr:from>
    <xdr:to>
      <xdr:col>20</xdr:col>
      <xdr:colOff>96000</xdr:colOff>
      <xdr:row>5</xdr:row>
      <xdr:rowOff>1620000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2325C1-BA3A-4CDD-8228-1A224B015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</xdr:row>
      <xdr:rowOff>0</xdr:rowOff>
    </xdr:from>
    <xdr:to>
      <xdr:col>23</xdr:col>
      <xdr:colOff>96000</xdr:colOff>
      <xdr:row>5</xdr:row>
      <xdr:rowOff>1620000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5053AD2-4822-4A71-BD67-B462C5F85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5</xdr:row>
      <xdr:rowOff>0</xdr:rowOff>
    </xdr:from>
    <xdr:to>
      <xdr:col>26</xdr:col>
      <xdr:colOff>96000</xdr:colOff>
      <xdr:row>5</xdr:row>
      <xdr:rowOff>1620000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AE7BE70-3A63-4F70-A29A-E421F8AF7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0</xdr:colOff>
      <xdr:row>5</xdr:row>
      <xdr:rowOff>0</xdr:rowOff>
    </xdr:from>
    <xdr:to>
      <xdr:col>29</xdr:col>
      <xdr:colOff>96000</xdr:colOff>
      <xdr:row>5</xdr:row>
      <xdr:rowOff>1620000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B369CD2-AAA8-474A-B929-1514B9899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30</xdr:col>
      <xdr:colOff>0</xdr:colOff>
      <xdr:row>5</xdr:row>
      <xdr:rowOff>0</xdr:rowOff>
    </xdr:from>
    <xdr:to>
      <xdr:col>32</xdr:col>
      <xdr:colOff>96000</xdr:colOff>
      <xdr:row>5</xdr:row>
      <xdr:rowOff>1620000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023B0E8-5FAC-449C-AF86-0E4A198F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504824</xdr:colOff>
      <xdr:row>1</xdr:row>
      <xdr:rowOff>95250</xdr:rowOff>
    </xdr:from>
    <xdr:to>
      <xdr:col>12</xdr:col>
      <xdr:colOff>12700</xdr:colOff>
      <xdr:row>2</xdr:row>
      <xdr:rowOff>209550</xdr:rowOff>
    </xdr:to>
    <xdr:sp macro="" textlink="">
      <xdr:nvSpPr>
        <xdr:cNvPr id="13" name="Rectangle: Rounded Corners 12">
          <a:hlinkClick xmlns:r="http://schemas.openxmlformats.org/officeDocument/2006/relationships" r:id="rId11" tooltip="Go to"/>
          <a:extLst>
            <a:ext uri="{FF2B5EF4-FFF2-40B4-BE49-F238E27FC236}">
              <a16:creationId xmlns:a16="http://schemas.microsoft.com/office/drawing/2014/main" id="{44A55EEA-5D51-40CF-A1A2-ED93AC93EBA3}"/>
            </a:ext>
          </a:extLst>
        </xdr:cNvPr>
        <xdr:cNvSpPr/>
      </xdr:nvSpPr>
      <xdr:spPr>
        <a:xfrm>
          <a:off x="6048374" y="180975"/>
          <a:ext cx="1317626" cy="361950"/>
        </a:xfrm>
        <a:prstGeom prst="roundRect">
          <a:avLst/>
        </a:prstGeom>
        <a:solidFill>
          <a:srgbClr val="565264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tr-TR" sz="1400" b="0"/>
            <a:t>KPI REPORT</a:t>
          </a:r>
          <a:endParaRPr lang="en-US" sz="1400" b="0"/>
        </a:p>
      </xdr:txBody>
    </xdr:sp>
    <xdr:clientData/>
  </xdr:twoCellAnchor>
  <xdr:twoCellAnchor editAs="oneCell">
    <xdr:from>
      <xdr:col>7</xdr:col>
      <xdr:colOff>28574</xdr:colOff>
      <xdr:row>1</xdr:row>
      <xdr:rowOff>95251</xdr:rowOff>
    </xdr:from>
    <xdr:to>
      <xdr:col>9</xdr:col>
      <xdr:colOff>296813</xdr:colOff>
      <xdr:row>2</xdr:row>
      <xdr:rowOff>209551</xdr:rowOff>
    </xdr:to>
    <xdr:sp macro="" textlink="">
      <xdr:nvSpPr>
        <xdr:cNvPr id="14" name="Rectangle: Rounded Corners 13">
          <a:hlinkClick xmlns:r="http://schemas.openxmlformats.org/officeDocument/2006/relationships" r:id="rId12" tooltip="Go to"/>
          <a:extLst>
            <a:ext uri="{FF2B5EF4-FFF2-40B4-BE49-F238E27FC236}">
              <a16:creationId xmlns:a16="http://schemas.microsoft.com/office/drawing/2014/main" id="{39152112-BE8D-4898-A3E7-05914B2A517F}"/>
            </a:ext>
          </a:extLst>
        </xdr:cNvPr>
        <xdr:cNvSpPr/>
      </xdr:nvSpPr>
      <xdr:spPr>
        <a:xfrm>
          <a:off x="4524374" y="180976"/>
          <a:ext cx="1315989" cy="361950"/>
        </a:xfrm>
        <a:prstGeom prst="roundRect">
          <a:avLst/>
        </a:prstGeom>
        <a:solidFill>
          <a:srgbClr val="A6808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tr-TR" sz="1400" b="0"/>
            <a:t>MENU</a:t>
          </a:r>
          <a:endParaRPr lang="en-US" sz="1400" b="0"/>
        </a:p>
      </xdr:txBody>
    </xdr:sp>
    <xdr:clientData/>
  </xdr:twoCellAnchor>
  <xdr:twoCellAnchor editAs="oneCell">
    <xdr:from>
      <xdr:col>1</xdr:col>
      <xdr:colOff>85724</xdr:colOff>
      <xdr:row>1</xdr:row>
      <xdr:rowOff>66675</xdr:rowOff>
    </xdr:from>
    <xdr:to>
      <xdr:col>1</xdr:col>
      <xdr:colOff>517724</xdr:colOff>
      <xdr:row>2</xdr:row>
      <xdr:rowOff>251025</xdr:rowOff>
    </xdr:to>
    <xdr:pic>
      <xdr:nvPicPr>
        <xdr:cNvPr id="15" name="mainicon">
          <a:extLst>
            <a:ext uri="{FF2B5EF4-FFF2-40B4-BE49-F238E27FC236}">
              <a16:creationId xmlns:a16="http://schemas.microsoft.com/office/drawing/2014/main" id="{592D5908-1D89-4765-9989-A7CAC329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3374" y="152400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30</xdr:col>
      <xdr:colOff>485774</xdr:colOff>
      <xdr:row>1</xdr:row>
      <xdr:rowOff>95249</xdr:rowOff>
    </xdr:from>
    <xdr:to>
      <xdr:col>33</xdr:col>
      <xdr:colOff>150354</xdr:colOff>
      <xdr:row>2</xdr:row>
      <xdr:rowOff>139199</xdr:rowOff>
    </xdr:to>
    <xdr:pic>
      <xdr:nvPicPr>
        <xdr:cNvPr id="17" name="somekalogo">
          <a:hlinkClick xmlns:r="http://schemas.openxmlformats.org/officeDocument/2006/relationships" r:id="rId14" tooltip="Someka"/>
          <a:extLst>
            <a:ext uri="{FF2B5EF4-FFF2-40B4-BE49-F238E27FC236}">
              <a16:creationId xmlns:a16="http://schemas.microsoft.com/office/drawing/2014/main" id="{3196642E-5607-41E8-81D9-56DAE051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7574" y="180974"/>
          <a:ext cx="1474330" cy="2916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238125</xdr:colOff>
      <xdr:row>18</xdr:row>
      <xdr:rowOff>104775</xdr:rowOff>
    </xdr:from>
    <xdr:to>
      <xdr:col>11</xdr:col>
      <xdr:colOff>114299</xdr:colOff>
      <xdr:row>23</xdr:row>
      <xdr:rowOff>238125</xdr:rowOff>
    </xdr:to>
    <xdr:grpSp>
      <xdr:nvGrpSpPr>
        <xdr:cNvPr id="11" name="unlockbutton">
          <a:hlinkClick xmlns:r="http://schemas.openxmlformats.org/officeDocument/2006/relationships" r:id="rId16" tooltip="Get Full Version"/>
          <a:extLst>
            <a:ext uri="{FF2B5EF4-FFF2-40B4-BE49-F238E27FC236}">
              <a16:creationId xmlns:a16="http://schemas.microsoft.com/office/drawing/2014/main" id="{5D5161DE-39EF-403C-B214-002929B8AEFE}"/>
            </a:ext>
          </a:extLst>
        </xdr:cNvPr>
        <xdr:cNvGrpSpPr/>
      </xdr:nvGrpSpPr>
      <xdr:grpSpPr>
        <a:xfrm>
          <a:off x="3971925" y="6362700"/>
          <a:ext cx="3209924" cy="1562100"/>
          <a:chOff x="10506075" y="3181351"/>
          <a:chExt cx="2419350" cy="1846683"/>
        </a:xfrm>
      </xdr:grpSpPr>
      <xdr:sp macro="" textlink="">
        <xdr:nvSpPr>
          <xdr:cNvPr id="12" name="Rectangle: Rounded Corners 11">
            <a:hlinkClick xmlns:r="http://schemas.openxmlformats.org/officeDocument/2006/relationships" r:id="rId16" tooltip="Get Full Version"/>
            <a:extLst>
              <a:ext uri="{FF2B5EF4-FFF2-40B4-BE49-F238E27FC236}">
                <a16:creationId xmlns:a16="http://schemas.microsoft.com/office/drawing/2014/main" id="{A586F949-0A0E-C898-2F70-FB502AD8DA11}"/>
              </a:ext>
            </a:extLst>
          </xdr:cNvPr>
          <xdr:cNvSpPr>
            <a:spLocks/>
          </xdr:cNvSpPr>
        </xdr:nvSpPr>
        <xdr:spPr>
          <a:xfrm>
            <a:off x="10506075" y="3181351"/>
            <a:ext cx="2419350" cy="1846683"/>
          </a:xfrm>
          <a:prstGeom prst="roundRect">
            <a:avLst/>
          </a:prstGeom>
          <a:solidFill>
            <a:srgbClr val="3B3838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72000" tIns="0" rIns="72000" bIns="72000" rtlCol="0" anchor="b"/>
          <a:lstStyle/>
          <a:p>
            <a:pPr marL="0" algn="ctr">
              <a:spcBef>
                <a:spcPts val="0"/>
              </a:spcBef>
              <a:spcAft>
                <a:spcPts val="800"/>
              </a:spcAft>
            </a:pPr>
            <a:r>
              <a:rPr lang="en-US" sz="1500" b="1" u="sng">
                <a:solidFill>
                  <a:srgbClr val="D9D1C9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</a:rPr>
              <a:t>Get Full Version</a:t>
            </a:r>
          </a:p>
          <a:p>
            <a:pPr marL="0" algn="ctr">
              <a:spcAft>
                <a:spcPts val="0"/>
              </a:spcAft>
            </a:pPr>
            <a:r>
              <a:rPr lang="en-US" sz="1300" b="0">
                <a:solidFill>
                  <a:srgbClr val="D9D1C9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</a:rPr>
              <a:t>Unlock</a:t>
            </a:r>
            <a:r>
              <a:rPr lang="en-US" sz="1300" b="0" baseline="0">
                <a:solidFill>
                  <a:srgbClr val="D9D1C9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</a:rPr>
              <a:t> </a:t>
            </a:r>
            <a:r>
              <a:rPr lang="en-US" sz="1300" b="0">
                <a:solidFill>
                  <a:srgbClr val="D9D1C9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</a:rPr>
              <a:t>tables, remove logo and access many other cool features</a:t>
            </a:r>
            <a:r>
              <a:rPr lang="tr-TR" sz="1300" b="0">
                <a:solidFill>
                  <a:srgbClr val="D9D1C9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</a:rPr>
              <a:t>.</a:t>
            </a:r>
          </a:p>
        </xdr:txBody>
      </xdr:sp>
      <xdr:pic>
        <xdr:nvPicPr>
          <xdr:cNvPr id="16" name="Picture 15">
            <a:hlinkClick xmlns:r="http://schemas.openxmlformats.org/officeDocument/2006/relationships" r:id="rId16" tooltip="Get Full Version"/>
            <a:extLst>
              <a:ext uri="{FF2B5EF4-FFF2-40B4-BE49-F238E27FC236}">
                <a16:creationId xmlns:a16="http://schemas.microsoft.com/office/drawing/2014/main" id="{2F0F99EB-F5E9-66E6-F420-6583BC9F0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duotone>
              <a:prstClr val="black"/>
              <a:srgbClr val="D9C3A5">
                <a:tint val="50000"/>
                <a:satMod val="180000"/>
              </a:srgbClr>
            </a:duotone>
            <a:alphaModFix amt="85000"/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544759" y="3306065"/>
            <a:ext cx="338464" cy="531981"/>
          </a:xfrm>
          <a:prstGeom prst="rect">
            <a:avLst/>
          </a:prstGeom>
          <a:effectLst>
            <a:outerShdw blurRad="38100" dist="25400" dir="2700000" algn="tl" rotWithShape="0">
              <a:prstClr val="black">
                <a:alpha val="40000"/>
              </a:prstClr>
            </a:outerShdw>
          </a:effectLst>
        </xdr:spPr>
      </xdr:pic>
    </xdr:grpSp>
    <xdr:clientData fPrintsWithSheet="0"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0.34298</cdr:y>
    </cdr:from>
    <cdr:to>
      <cdr:x>1</cdr:x>
      <cdr:y>0.63108</cdr:y>
    </cdr:to>
    <cdr:sp macro="" textlink="Calc!$U$9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365E16F5-E64D-80A4-3FE7-595B61825743}"/>
            </a:ext>
          </a:extLst>
        </cdr:cNvPr>
        <cdr:cNvSpPr txBox="1"/>
      </cdr:nvSpPr>
      <cdr:spPr>
        <a:xfrm xmlns:a="http://schemas.openxmlformats.org/drawingml/2006/main">
          <a:off x="0" y="555625"/>
          <a:ext cx="1620000" cy="4667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5BC8F54-C0BA-40AC-BE34-232D8E1ACA4A}" type="TxLink">
            <a:rPr lang="en-US" sz="1800" b="1" i="0" u="none" strike="noStrike">
              <a:solidFill>
                <a:srgbClr val="A6808C"/>
              </a:solidFill>
              <a:latin typeface="Aptos Narrow"/>
            </a:rPr>
            <a:pPr algn="ctr"/>
            <a:t>91</a:t>
          </a:fld>
          <a:endParaRPr lang="en-US" sz="1800" b="1">
            <a:solidFill>
              <a:srgbClr val="A6808C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0.33318</cdr:y>
    </cdr:from>
    <cdr:to>
      <cdr:x>1</cdr:x>
      <cdr:y>0.62128</cdr:y>
    </cdr:to>
    <cdr:sp macro="" textlink="Calc!$U$10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ABFAB682-1C3D-03F8-7C53-75FD58624E72}"/>
            </a:ext>
          </a:extLst>
        </cdr:cNvPr>
        <cdr:cNvSpPr txBox="1"/>
      </cdr:nvSpPr>
      <cdr:spPr>
        <a:xfrm xmlns:a="http://schemas.openxmlformats.org/drawingml/2006/main">
          <a:off x="0" y="539750"/>
          <a:ext cx="1620000" cy="4667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7FA69C9-E226-453A-BD30-03DFA4ADB491}" type="TxLink">
            <a:rPr lang="en-US" sz="1800" b="1" i="0" u="none" strike="noStrike">
              <a:solidFill>
                <a:srgbClr val="565264"/>
              </a:solidFill>
              <a:latin typeface="Aptos Narrow"/>
            </a:rPr>
            <a:pPr algn="ctr"/>
            <a:t>63</a:t>
          </a:fld>
          <a:endParaRPr lang="en-US" sz="1800" b="1">
            <a:solidFill>
              <a:srgbClr val="565264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0.34298</cdr:y>
    </cdr:from>
    <cdr:to>
      <cdr:x>1</cdr:x>
      <cdr:y>0.63108</cdr:y>
    </cdr:to>
    <cdr:sp macro="" textlink="Calc!$U$11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365E16F5-E64D-80A4-3FE7-595B61825743}"/>
            </a:ext>
          </a:extLst>
        </cdr:cNvPr>
        <cdr:cNvSpPr txBox="1"/>
      </cdr:nvSpPr>
      <cdr:spPr>
        <a:xfrm xmlns:a="http://schemas.openxmlformats.org/drawingml/2006/main">
          <a:off x="0" y="555625"/>
          <a:ext cx="1620000" cy="4667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8307448-EFF8-4360-A087-5763FEFDA68D}" type="TxLink">
            <a:rPr lang="en-US" sz="1800" b="1" i="0" u="none" strike="noStrike">
              <a:solidFill>
                <a:srgbClr val="A6808C"/>
              </a:solidFill>
              <a:latin typeface="Aptos Narrow"/>
            </a:rPr>
            <a:pPr algn="ctr"/>
            <a:t>105</a:t>
          </a:fld>
          <a:endParaRPr lang="en-US" sz="3200" b="1">
            <a:solidFill>
              <a:srgbClr val="A6808C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0.34494</cdr:y>
    </cdr:from>
    <cdr:to>
      <cdr:x>1</cdr:x>
      <cdr:y>0.63304</cdr:y>
    </cdr:to>
    <cdr:sp macro="" textlink="Calc!$U$12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88C94F1-9E69-5C57-4CBD-C2B4F0340837}"/>
            </a:ext>
          </a:extLst>
        </cdr:cNvPr>
        <cdr:cNvSpPr txBox="1"/>
      </cdr:nvSpPr>
      <cdr:spPr>
        <a:xfrm xmlns:a="http://schemas.openxmlformats.org/drawingml/2006/main">
          <a:off x="0" y="558797"/>
          <a:ext cx="1620000" cy="466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FD22118-4A07-4137-AA8D-C0C7DDE56F87}" type="TxLink">
            <a:rPr lang="en-US" sz="1800" b="1" i="0" u="none" strike="noStrike">
              <a:solidFill>
                <a:srgbClr val="565264"/>
              </a:solidFill>
              <a:latin typeface="Aptos Narrow"/>
            </a:rPr>
            <a:pPr algn="ctr"/>
            <a:t>83</a:t>
          </a:fld>
          <a:endParaRPr lang="en-US" sz="1800" b="1">
            <a:solidFill>
              <a:srgbClr val="565264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0.34494</cdr:y>
    </cdr:from>
    <cdr:to>
      <cdr:x>1</cdr:x>
      <cdr:y>0.63304</cdr:y>
    </cdr:to>
    <cdr:sp macro="" textlink="Calc!$U$13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88C94F1-9E69-5C57-4CBD-C2B4F0340837}"/>
            </a:ext>
          </a:extLst>
        </cdr:cNvPr>
        <cdr:cNvSpPr txBox="1"/>
      </cdr:nvSpPr>
      <cdr:spPr>
        <a:xfrm xmlns:a="http://schemas.openxmlformats.org/drawingml/2006/main">
          <a:off x="0" y="558797"/>
          <a:ext cx="1620000" cy="466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BAB7854-3961-44DD-8EBE-FAD942B1B52E}" type="TxLink">
            <a:rPr lang="en-US" sz="1800" b="1" i="0" u="none" strike="noStrike">
              <a:solidFill>
                <a:srgbClr val="A6808C"/>
              </a:solidFill>
              <a:latin typeface="Aptos Narrow"/>
            </a:rPr>
            <a:pPr algn="ctr"/>
            <a:t>63</a:t>
          </a:fld>
          <a:endParaRPr lang="en-US" sz="1800" b="1">
            <a:solidFill>
              <a:srgbClr val="A6808C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0.34494</cdr:y>
    </cdr:from>
    <cdr:to>
      <cdr:x>1</cdr:x>
      <cdr:y>0.63304</cdr:y>
    </cdr:to>
    <cdr:sp macro="" textlink="Calc!$U$14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88C94F1-9E69-5C57-4CBD-C2B4F0340837}"/>
            </a:ext>
          </a:extLst>
        </cdr:cNvPr>
        <cdr:cNvSpPr txBox="1"/>
      </cdr:nvSpPr>
      <cdr:spPr>
        <a:xfrm xmlns:a="http://schemas.openxmlformats.org/drawingml/2006/main">
          <a:off x="0" y="558797"/>
          <a:ext cx="1620000" cy="466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B95FE5E-1940-41DC-A66F-89DF4818EBE8}" type="TxLink">
            <a:rPr lang="en-US" sz="1800" b="1" i="0" u="none" strike="noStrike">
              <a:solidFill>
                <a:srgbClr val="565264"/>
              </a:solidFill>
              <a:latin typeface="Aptos Narrow"/>
            </a:rPr>
            <a:pPr algn="ctr"/>
            <a:t>110</a:t>
          </a:fld>
          <a:endParaRPr lang="en-US" sz="3200" b="1">
            <a:solidFill>
              <a:srgbClr val="565264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0.34494</cdr:y>
    </cdr:from>
    <cdr:to>
      <cdr:x>1</cdr:x>
      <cdr:y>0.63304</cdr:y>
    </cdr:to>
    <cdr:sp macro="" textlink="Calc!$U$15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88C94F1-9E69-5C57-4CBD-C2B4F0340837}"/>
            </a:ext>
          </a:extLst>
        </cdr:cNvPr>
        <cdr:cNvSpPr txBox="1"/>
      </cdr:nvSpPr>
      <cdr:spPr>
        <a:xfrm xmlns:a="http://schemas.openxmlformats.org/drawingml/2006/main">
          <a:off x="0" y="558797"/>
          <a:ext cx="1620000" cy="466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6123D8B-BA21-4929-BF77-DCEDCBF4737B}" type="TxLink">
            <a:rPr lang="en-US" sz="1800" b="1" i="0" u="none" strike="noStrike">
              <a:solidFill>
                <a:srgbClr val="A6808C"/>
              </a:solidFill>
              <a:latin typeface="Aptos Narrow"/>
            </a:rPr>
            <a:pPr algn="ctr"/>
            <a:t>86</a:t>
          </a:fld>
          <a:endParaRPr lang="en-US" sz="4800" b="1">
            <a:solidFill>
              <a:srgbClr val="A6808C"/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0.34494</cdr:y>
    </cdr:from>
    <cdr:to>
      <cdr:x>1</cdr:x>
      <cdr:y>0.63304</cdr:y>
    </cdr:to>
    <cdr:sp macro="" textlink="Calc!$U$16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88C94F1-9E69-5C57-4CBD-C2B4F0340837}"/>
            </a:ext>
          </a:extLst>
        </cdr:cNvPr>
        <cdr:cNvSpPr txBox="1"/>
      </cdr:nvSpPr>
      <cdr:spPr>
        <a:xfrm xmlns:a="http://schemas.openxmlformats.org/drawingml/2006/main">
          <a:off x="0" y="558797"/>
          <a:ext cx="1620000" cy="466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CC0528C-46EF-48F9-AAC3-48B819BA33C6}" type="TxLink">
            <a:rPr lang="en-US" sz="1800" b="1" i="0" u="none" strike="noStrike">
              <a:solidFill>
                <a:srgbClr val="565264"/>
              </a:solidFill>
              <a:latin typeface="Aptos Narrow"/>
            </a:rPr>
            <a:pPr algn="ctr"/>
            <a:t>93</a:t>
          </a:fld>
          <a:endParaRPr lang="en-US" sz="7200" b="1">
            <a:solidFill>
              <a:srgbClr val="565264"/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0.20213</cdr:x>
      <cdr:y>0.10583</cdr:y>
    </cdr:from>
    <cdr:to>
      <cdr:x>0.81206</cdr:x>
      <cdr:y>0.40444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F8DDCA-1E60-D1A2-842E-0DAED9803CB6}"/>
            </a:ext>
          </a:extLst>
        </cdr:cNvPr>
        <cdr:cNvSpPr txBox="1"/>
      </cdr:nvSpPr>
      <cdr:spPr>
        <a:xfrm xmlns:a="http://schemas.openxmlformats.org/drawingml/2006/main">
          <a:off x="327451" y="171450"/>
          <a:ext cx="988086" cy="483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</cdr:x>
      <cdr:y>0.34494</cdr:y>
    </cdr:from>
    <cdr:to>
      <cdr:x>1</cdr:x>
      <cdr:y>0.63304</cdr:y>
    </cdr:to>
    <cdr:sp macro="" textlink="Calc!$U$17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88C94F1-9E69-5C57-4CBD-C2B4F0340837}"/>
            </a:ext>
          </a:extLst>
        </cdr:cNvPr>
        <cdr:cNvSpPr txBox="1"/>
      </cdr:nvSpPr>
      <cdr:spPr>
        <a:xfrm xmlns:a="http://schemas.openxmlformats.org/drawingml/2006/main">
          <a:off x="0" y="558797"/>
          <a:ext cx="1620000" cy="466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A4F276A-1046-438B-9251-DECD9E8BF43E}" type="TxLink">
            <a:rPr lang="en-US" sz="1800" b="1" i="0" u="none" strike="noStrike">
              <a:solidFill>
                <a:srgbClr val="A6808C"/>
              </a:solidFill>
              <a:latin typeface="Aptos Narrow"/>
            </a:rPr>
            <a:pPr algn="ctr"/>
            <a:t>84</a:t>
          </a:fld>
          <a:endParaRPr lang="en-US" sz="11500" b="1">
            <a:solidFill>
              <a:srgbClr val="A6808C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250869</xdr:colOff>
      <xdr:row>1</xdr:row>
      <xdr:rowOff>19050</xdr:rowOff>
    </xdr:from>
    <xdr:to>
      <xdr:col>4</xdr:col>
      <xdr:colOff>113769</xdr:colOff>
      <xdr:row>2</xdr:row>
      <xdr:rowOff>221400</xdr:rowOff>
    </xdr:to>
    <xdr:grpSp>
      <xdr:nvGrpSpPr>
        <xdr:cNvPr id="2" name="backtomenu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FE99BC73-0E88-4222-BD9A-7128D20A481B}"/>
            </a:ext>
          </a:extLst>
        </xdr:cNvPr>
        <xdr:cNvGrpSpPr/>
      </xdr:nvGrpSpPr>
      <xdr:grpSpPr>
        <a:xfrm>
          <a:off x="10309269" y="104775"/>
          <a:ext cx="1044000" cy="450000"/>
          <a:chOff x="6972831" y="127063"/>
          <a:chExt cx="1044000" cy="450000"/>
        </a:xfrm>
      </xdr:grpSpPr>
      <xdr:sp macro="" textlink="">
        <xdr:nvSpPr>
          <xdr:cNvPr id="3" name="Rounded Rectangle 2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B8FDBA89-52A5-02B5-1278-9F3F2553B2DD}"/>
              </a:ext>
            </a:extLst>
          </xdr:cNvPr>
          <xdr:cNvSpPr/>
        </xdr:nvSpPr>
        <xdr:spPr>
          <a:xfrm>
            <a:off x="6972831" y="127063"/>
            <a:ext cx="1044000" cy="450000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lIns="432000" tIns="0" rIns="0" bIns="0" rtlCol="0" anchor="ctr"/>
          <a:lstStyle/>
          <a:p>
            <a:pPr algn="ctr"/>
            <a:r>
              <a:rPr lang="en-US" sz="1000" b="1" i="1">
                <a:solidFill>
                  <a:schemeClr val="tx1">
                    <a:lumMod val="95000"/>
                    <a:lumOff val="5000"/>
                  </a:schemeClr>
                </a:solidFill>
              </a:rPr>
              <a:t>Back to </a:t>
            </a:r>
          </a:p>
          <a:p>
            <a:pPr algn="ctr"/>
            <a:r>
              <a:rPr lang="en-US" sz="1000" b="1" i="1">
                <a:solidFill>
                  <a:schemeClr val="tx1">
                    <a:lumMod val="95000"/>
                    <a:lumOff val="5000"/>
                  </a:schemeClr>
                </a:solidFill>
              </a:rPr>
              <a:t>Menu</a:t>
            </a:r>
            <a:endParaRPr lang="tr-TR" sz="1000" b="1" i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6199EEDE-A78C-E0F1-87D8-3E221CED359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 bwMode="auto">
          <a:xfrm>
            <a:off x="7064544" y="141367"/>
            <a:ext cx="414000" cy="4110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PrintsWithSheet="0"/>
  </xdr:twoCellAnchor>
  <xdr:twoCellAnchor editAs="oneCell">
    <xdr:from>
      <xdr:col>1</xdr:col>
      <xdr:colOff>8184020</xdr:colOff>
      <xdr:row>1</xdr:row>
      <xdr:rowOff>104774</xdr:rowOff>
    </xdr:from>
    <xdr:to>
      <xdr:col>1</xdr:col>
      <xdr:colOff>9658350</xdr:colOff>
      <xdr:row>2</xdr:row>
      <xdr:rowOff>148724</xdr:rowOff>
    </xdr:to>
    <xdr:pic>
      <xdr:nvPicPr>
        <xdr:cNvPr id="5" name="somekalogo">
          <a:hlinkClick xmlns:r="http://schemas.openxmlformats.org/officeDocument/2006/relationships" r:id="rId3" tooltip="Someka"/>
          <a:extLst>
            <a:ext uri="{FF2B5EF4-FFF2-40B4-BE49-F238E27FC236}">
              <a16:creationId xmlns:a16="http://schemas.microsoft.com/office/drawing/2014/main" id="{115DA7B0-AE98-4088-AE94-299E1898D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1670" y="190499"/>
          <a:ext cx="1474330" cy="2916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74B6-8F8C-428C-84EE-0470139B27E3}">
  <sheetPr codeName="Sheet1">
    <pageSetUpPr fitToPage="1"/>
  </sheetPr>
  <dimension ref="A1:H23"/>
  <sheetViews>
    <sheetView showGridLines="0" showRowColHeaders="0" tabSelected="1" zoomScaleNormal="10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.7109375" style="1" customWidth="1"/>
    <col min="2" max="2" width="5.7109375" style="1" customWidth="1"/>
    <col min="3" max="4" width="34.28515625" style="1" customWidth="1"/>
    <col min="5" max="5" width="42.85546875" style="1" customWidth="1"/>
    <col min="6" max="7" width="25.7109375" style="1" customWidth="1"/>
    <col min="8" max="9" width="5.7109375" style="1" customWidth="1"/>
    <col min="10" max="10" width="14.85546875" style="1" customWidth="1"/>
    <col min="11" max="16384" width="9.140625" style="1"/>
  </cols>
  <sheetData>
    <row r="1" spans="1:8" ht="6.75" customHeight="1" x14ac:dyDescent="0.25">
      <c r="A1" s="104"/>
      <c r="B1" s="105"/>
    </row>
    <row r="2" spans="1:8" s="103" customFormat="1" ht="20.100000000000001" customHeight="1" x14ac:dyDescent="0.25">
      <c r="A2" s="106"/>
      <c r="B2" s="25" t="s">
        <v>124</v>
      </c>
      <c r="C2" s="26"/>
      <c r="D2" s="27"/>
      <c r="E2" s="27"/>
      <c r="F2" s="27"/>
      <c r="G2" s="27"/>
      <c r="H2" s="27"/>
    </row>
    <row r="3" spans="1:8" s="107" customFormat="1" ht="24" customHeight="1" x14ac:dyDescent="0.25">
      <c r="B3" s="108" t="s">
        <v>123</v>
      </c>
      <c r="C3" s="109"/>
      <c r="D3" s="110"/>
      <c r="E3" s="110"/>
      <c r="F3" s="110"/>
      <c r="G3" s="110"/>
      <c r="H3" s="110"/>
    </row>
    <row r="4" spans="1:8" ht="3.75" customHeight="1" x14ac:dyDescent="0.25"/>
    <row r="5" spans="1:8" ht="3.75" customHeight="1" x14ac:dyDescent="0.25"/>
    <row r="6" spans="1:8" x14ac:dyDescent="0.25">
      <c r="B6" s="59"/>
      <c r="C6" s="60"/>
      <c r="D6" s="60"/>
      <c r="E6" s="60"/>
      <c r="F6" s="60"/>
      <c r="G6" s="60"/>
      <c r="H6" s="61"/>
    </row>
    <row r="7" spans="1:8" ht="22.5" customHeight="1" x14ac:dyDescent="0.25">
      <c r="B7" s="62"/>
      <c r="C7" s="9" t="s">
        <v>0</v>
      </c>
      <c r="D7" s="51">
        <v>45950</v>
      </c>
      <c r="E7" s="58" t="s">
        <v>122</v>
      </c>
      <c r="F7" s="63"/>
      <c r="G7" s="63"/>
      <c r="H7" s="64"/>
    </row>
    <row r="8" spans="1:8" x14ac:dyDescent="0.25">
      <c r="B8" s="62"/>
      <c r="C8" s="63"/>
      <c r="D8" s="63"/>
      <c r="E8" s="65"/>
      <c r="F8" s="65"/>
      <c r="G8" s="63"/>
      <c r="H8" s="64"/>
    </row>
    <row r="9" spans="1:8" ht="22.5" customHeight="1" x14ac:dyDescent="0.25">
      <c r="B9" s="62"/>
      <c r="C9" s="9" t="s">
        <v>93</v>
      </c>
      <c r="D9" s="9" t="s">
        <v>94</v>
      </c>
      <c r="E9" s="9" t="s">
        <v>89</v>
      </c>
      <c r="F9" s="9" t="s">
        <v>121</v>
      </c>
      <c r="G9" s="9" t="s">
        <v>4</v>
      </c>
      <c r="H9" s="64"/>
    </row>
    <row r="10" spans="1:8" ht="22.5" customHeight="1" x14ac:dyDescent="0.25">
      <c r="B10" s="62"/>
      <c r="C10" s="52" t="s">
        <v>95</v>
      </c>
      <c r="D10" s="52" t="s">
        <v>96</v>
      </c>
      <c r="E10" s="52" t="s">
        <v>97</v>
      </c>
      <c r="F10" s="53" t="s">
        <v>2</v>
      </c>
      <c r="G10" s="53" t="s">
        <v>5</v>
      </c>
      <c r="H10" s="64"/>
    </row>
    <row r="11" spans="1:8" ht="22.5" customHeight="1" x14ac:dyDescent="0.25">
      <c r="B11" s="62"/>
      <c r="C11" s="52" t="s">
        <v>95</v>
      </c>
      <c r="D11" s="52" t="s">
        <v>98</v>
      </c>
      <c r="E11" s="52" t="s">
        <v>99</v>
      </c>
      <c r="F11" s="53" t="s">
        <v>3</v>
      </c>
      <c r="G11" s="53" t="s">
        <v>6</v>
      </c>
      <c r="H11" s="64"/>
    </row>
    <row r="12" spans="1:8" ht="22.5" customHeight="1" x14ac:dyDescent="0.25">
      <c r="B12" s="62"/>
      <c r="C12" s="52" t="s">
        <v>95</v>
      </c>
      <c r="D12" s="52" t="s">
        <v>100</v>
      </c>
      <c r="E12" s="52" t="s">
        <v>101</v>
      </c>
      <c r="F12" s="53" t="s">
        <v>3</v>
      </c>
      <c r="G12" s="53" t="s">
        <v>5</v>
      </c>
      <c r="H12" s="64"/>
    </row>
    <row r="13" spans="1:8" ht="22.5" customHeight="1" x14ac:dyDescent="0.25">
      <c r="B13" s="62"/>
      <c r="C13" s="52" t="s">
        <v>102</v>
      </c>
      <c r="D13" s="52" t="s">
        <v>103</v>
      </c>
      <c r="E13" s="52" t="s">
        <v>104</v>
      </c>
      <c r="F13" s="53" t="s">
        <v>3</v>
      </c>
      <c r="G13" s="53" t="s">
        <v>5</v>
      </c>
      <c r="H13" s="64"/>
    </row>
    <row r="14" spans="1:8" ht="22.5" customHeight="1" x14ac:dyDescent="0.25">
      <c r="B14" s="62"/>
      <c r="C14" s="52" t="s">
        <v>102</v>
      </c>
      <c r="D14" s="52" t="s">
        <v>105</v>
      </c>
      <c r="E14" s="52" t="s">
        <v>106</v>
      </c>
      <c r="F14" s="53" t="s">
        <v>3</v>
      </c>
      <c r="G14" s="53" t="s">
        <v>5</v>
      </c>
      <c r="H14" s="64"/>
    </row>
    <row r="15" spans="1:8" ht="22.5" customHeight="1" x14ac:dyDescent="0.25">
      <c r="B15" s="62"/>
      <c r="C15" s="52" t="s">
        <v>102</v>
      </c>
      <c r="D15" s="52" t="s">
        <v>107</v>
      </c>
      <c r="E15" s="52" t="s">
        <v>108</v>
      </c>
      <c r="F15" s="53" t="s">
        <v>3</v>
      </c>
      <c r="G15" s="53" t="s">
        <v>5</v>
      </c>
      <c r="H15" s="64"/>
    </row>
    <row r="16" spans="1:8" ht="22.5" customHeight="1" x14ac:dyDescent="0.25">
      <c r="B16" s="62"/>
      <c r="C16" s="52" t="s">
        <v>109</v>
      </c>
      <c r="D16" s="52" t="s">
        <v>110</v>
      </c>
      <c r="E16" s="52" t="s">
        <v>111</v>
      </c>
      <c r="F16" s="53" t="s">
        <v>3</v>
      </c>
      <c r="G16" s="53" t="s">
        <v>5</v>
      </c>
      <c r="H16" s="64"/>
    </row>
    <row r="17" spans="2:8" ht="22.5" customHeight="1" x14ac:dyDescent="0.25">
      <c r="B17" s="62"/>
      <c r="C17" s="52" t="s">
        <v>109</v>
      </c>
      <c r="D17" s="52" t="s">
        <v>112</v>
      </c>
      <c r="E17" s="52" t="s">
        <v>113</v>
      </c>
      <c r="F17" s="53" t="s">
        <v>2</v>
      </c>
      <c r="G17" s="53" t="s">
        <v>5</v>
      </c>
      <c r="H17" s="64"/>
    </row>
    <row r="18" spans="2:8" ht="22.5" customHeight="1" x14ac:dyDescent="0.25">
      <c r="B18" s="62"/>
      <c r="C18" s="52" t="s">
        <v>114</v>
      </c>
      <c r="D18" s="52" t="s">
        <v>115</v>
      </c>
      <c r="E18" s="52" t="s">
        <v>116</v>
      </c>
      <c r="F18" s="53" t="s">
        <v>3</v>
      </c>
      <c r="G18" s="53" t="s">
        <v>5</v>
      </c>
      <c r="H18" s="64"/>
    </row>
    <row r="19" spans="2:8" ht="22.5" customHeight="1" x14ac:dyDescent="0.25">
      <c r="B19" s="62"/>
      <c r="C19" s="52" t="s">
        <v>114</v>
      </c>
      <c r="D19" s="52" t="s">
        <v>117</v>
      </c>
      <c r="E19" s="52" t="s">
        <v>118</v>
      </c>
      <c r="F19" s="53" t="s">
        <v>3</v>
      </c>
      <c r="G19" s="53" t="s">
        <v>5</v>
      </c>
      <c r="H19" s="64"/>
    </row>
    <row r="20" spans="2:8" ht="86.25" customHeight="1" x14ac:dyDescent="0.25">
      <c r="B20" s="62"/>
      <c r="C20" s="63"/>
      <c r="D20" s="63"/>
      <c r="E20" s="63"/>
      <c r="F20" s="54" t="s">
        <v>120</v>
      </c>
      <c r="G20" s="54" t="s">
        <v>119</v>
      </c>
      <c r="H20" s="64"/>
    </row>
    <row r="21" spans="2:8" x14ac:dyDescent="0.25">
      <c r="B21" s="66"/>
      <c r="C21" s="67"/>
      <c r="D21" s="67"/>
      <c r="E21" s="67"/>
      <c r="F21" s="68"/>
      <c r="G21" s="67"/>
      <c r="H21" s="69"/>
    </row>
    <row r="22" spans="2:8" ht="7.5" customHeight="1" x14ac:dyDescent="0.25">
      <c r="F22" s="28"/>
    </row>
    <row r="23" spans="2:8" ht="22.5" customHeight="1" x14ac:dyDescent="0.25">
      <c r="B23" s="55"/>
      <c r="C23" s="55"/>
      <c r="D23" s="56"/>
      <c r="E23" s="57"/>
      <c r="F23" s="57"/>
      <c r="G23" s="57"/>
      <c r="H23" s="55"/>
    </row>
  </sheetData>
  <sheetProtection algorithmName="SHA-512" hashValue="RPkvgKdcFavZnAoaWNq0m4weciF0WtDoSHur3L9asKWXwBYfS8sNDh92cIt2TPuo2kpY+vYm8QpZ9javgy689A==" saltValue="EfsaxOfsDrXzNdaeeG3B7w==" spinCount="100000" sheet="1" objects="1" scenarios="1"/>
  <phoneticPr fontId="1" type="noConversion"/>
  <pageMargins left="0.31496062992125984" right="0.31496062992125984" top="0.31496062992125984" bottom="0.31496062992125984" header="0.31496062992125984" footer="0.31496062992125984"/>
  <pageSetup scale="7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A2F6430-AF23-4F92-A4D3-C58F9A62567F}">
          <x14:formula1>
            <xm:f>Calc!$B$8:$B$9</xm:f>
          </x14:formula1>
          <xm:sqref>F10:F19</xm:sqref>
        </x14:dataValidation>
        <x14:dataValidation type="list" allowBlank="1" showInputMessage="1" showErrorMessage="1" xr:uid="{73A19FDC-0743-4D6D-8CBA-ABD82CA47AFA}">
          <x14:formula1>
            <xm:f>Calc!$D$8:$D$9</xm:f>
          </x14:formula1>
          <xm:sqref>G10:G19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9C24-CC42-4939-A193-F3824F281DC9}">
  <sheetPr codeName="Sheet2">
    <pageSetUpPr fitToPage="1"/>
  </sheetPr>
  <dimension ref="A1:AH61"/>
  <sheetViews>
    <sheetView showGridLines="0" showRowColHeader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5" x14ac:dyDescent="0.25"/>
  <cols>
    <col min="1" max="1" width="3.7109375" style="1" customWidth="1"/>
    <col min="2" max="2" width="9.42578125" style="1" customWidth="1"/>
    <col min="3" max="3" width="15.7109375" style="29" customWidth="1"/>
    <col min="4" max="5" width="11.42578125" style="30" customWidth="1"/>
    <col min="6" max="6" width="4.28515625" style="31" customWidth="1"/>
    <col min="7" max="8" width="11.42578125" style="30" customWidth="1"/>
    <col min="9" max="9" width="4.28515625" style="31" customWidth="1"/>
    <col min="10" max="11" width="11.42578125" style="30" customWidth="1"/>
    <col min="12" max="12" width="4.28515625" style="31" customWidth="1"/>
    <col min="13" max="14" width="11.42578125" style="30" customWidth="1"/>
    <col min="15" max="15" width="4.28515625" style="31" customWidth="1"/>
    <col min="16" max="17" width="11.42578125" style="30" customWidth="1"/>
    <col min="18" max="18" width="4.28515625" style="31" customWidth="1"/>
    <col min="19" max="20" width="11.42578125" style="30" customWidth="1"/>
    <col min="21" max="21" width="4.28515625" style="31" customWidth="1"/>
    <col min="22" max="23" width="11.42578125" style="30" customWidth="1"/>
    <col min="24" max="24" width="4.28515625" style="31" customWidth="1"/>
    <col min="25" max="26" width="11.42578125" style="30" customWidth="1"/>
    <col min="27" max="27" width="4.28515625" style="31" customWidth="1"/>
    <col min="28" max="29" width="11.42578125" style="30" customWidth="1"/>
    <col min="30" max="30" width="4.28515625" style="31" customWidth="1"/>
    <col min="31" max="32" width="11.42578125" style="30" customWidth="1"/>
    <col min="33" max="33" width="4.28515625" style="31" customWidth="1"/>
    <col min="34" max="34" width="5.7109375" style="1" customWidth="1"/>
    <col min="35" max="16384" width="9.140625" style="1"/>
  </cols>
  <sheetData>
    <row r="1" spans="1:34" ht="6.75" customHeight="1" x14ac:dyDescent="0.25">
      <c r="A1" s="104"/>
      <c r="B1" s="105"/>
      <c r="C1" s="1"/>
      <c r="D1" s="2"/>
      <c r="E1" s="2"/>
      <c r="F1" s="6"/>
      <c r="G1" s="2"/>
      <c r="H1" s="2"/>
      <c r="I1" s="6"/>
      <c r="J1" s="2"/>
      <c r="K1" s="2"/>
      <c r="L1" s="6"/>
      <c r="M1" s="2"/>
      <c r="N1" s="2"/>
      <c r="O1" s="6"/>
      <c r="P1" s="2"/>
      <c r="Q1" s="2"/>
      <c r="R1" s="6"/>
      <c r="S1" s="2"/>
      <c r="T1" s="2"/>
      <c r="U1" s="6"/>
      <c r="V1" s="2"/>
      <c r="W1" s="2"/>
      <c r="X1" s="6"/>
      <c r="Y1" s="2"/>
      <c r="Z1" s="2"/>
      <c r="AA1" s="6"/>
      <c r="AB1" s="2"/>
      <c r="AC1" s="2"/>
      <c r="AD1" s="6"/>
      <c r="AE1" s="2"/>
      <c r="AF1" s="2"/>
      <c r="AG1" s="6"/>
    </row>
    <row r="2" spans="1:34" s="103" customFormat="1" ht="20.100000000000001" customHeight="1" x14ac:dyDescent="0.25">
      <c r="A2" s="106"/>
      <c r="B2" s="25" t="s">
        <v>124</v>
      </c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s="107" customFormat="1" ht="24" customHeight="1" x14ac:dyDescent="0.25">
      <c r="B3" s="108" t="s">
        <v>123</v>
      </c>
      <c r="C3" s="109" t="s">
        <v>125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34" ht="7.5" customHeight="1" x14ac:dyDescent="0.25">
      <c r="C4" s="1"/>
      <c r="D4" s="2"/>
      <c r="E4" s="2"/>
      <c r="F4" s="6"/>
      <c r="G4" s="2"/>
      <c r="H4" s="2"/>
      <c r="I4" s="6"/>
      <c r="J4" s="2"/>
      <c r="K4" s="2"/>
      <c r="L4" s="6"/>
      <c r="M4" s="2"/>
      <c r="N4" s="2"/>
      <c r="O4" s="6"/>
      <c r="P4" s="2"/>
      <c r="Q4" s="2"/>
      <c r="R4" s="6"/>
      <c r="S4" s="2"/>
      <c r="T4" s="2"/>
      <c r="U4" s="6"/>
      <c r="V4" s="2"/>
      <c r="W4" s="2"/>
      <c r="X4" s="6"/>
      <c r="Y4" s="2"/>
      <c r="Z4" s="2"/>
      <c r="AA4" s="6"/>
      <c r="AB4" s="2"/>
      <c r="AC4" s="2"/>
      <c r="AD4" s="6"/>
      <c r="AE4" s="2"/>
      <c r="AF4" s="2"/>
      <c r="AG4" s="6"/>
    </row>
    <row r="5" spans="1:34" x14ac:dyDescent="0.25">
      <c r="B5" s="59"/>
      <c r="C5" s="60"/>
      <c r="D5" s="70"/>
      <c r="E5" s="70"/>
      <c r="F5" s="71"/>
      <c r="G5" s="70"/>
      <c r="H5" s="70"/>
      <c r="I5" s="71"/>
      <c r="J5" s="70"/>
      <c r="K5" s="70"/>
      <c r="L5" s="71"/>
      <c r="M5" s="70"/>
      <c r="N5" s="70"/>
      <c r="O5" s="71"/>
      <c r="P5" s="70"/>
      <c r="Q5" s="70"/>
      <c r="R5" s="71"/>
      <c r="S5" s="70"/>
      <c r="T5" s="70"/>
      <c r="U5" s="71"/>
      <c r="V5" s="70"/>
      <c r="W5" s="70"/>
      <c r="X5" s="71"/>
      <c r="Y5" s="70"/>
      <c r="Z5" s="70"/>
      <c r="AA5" s="71"/>
      <c r="AB5" s="70"/>
      <c r="AC5" s="70"/>
      <c r="AD5" s="71"/>
      <c r="AE5" s="70"/>
      <c r="AF5" s="70"/>
      <c r="AG5" s="71"/>
      <c r="AH5" s="61"/>
    </row>
    <row r="6" spans="1:34" ht="142.5" customHeight="1" x14ac:dyDescent="0.25">
      <c r="B6" s="62"/>
      <c r="C6" s="63"/>
      <c r="D6" s="72"/>
      <c r="E6" s="72"/>
      <c r="F6" s="73"/>
      <c r="G6" s="72"/>
      <c r="H6" s="72"/>
      <c r="I6" s="73"/>
      <c r="J6" s="72"/>
      <c r="K6" s="72"/>
      <c r="L6" s="73"/>
      <c r="M6" s="72"/>
      <c r="N6" s="72"/>
      <c r="O6" s="73"/>
      <c r="P6" s="72"/>
      <c r="Q6" s="72"/>
      <c r="R6" s="73"/>
      <c r="S6" s="72"/>
      <c r="T6" s="72"/>
      <c r="U6" s="73"/>
      <c r="V6" s="72"/>
      <c r="W6" s="72"/>
      <c r="X6" s="73"/>
      <c r="Y6" s="72"/>
      <c r="Z6" s="72"/>
      <c r="AA6" s="73"/>
      <c r="AB6" s="72"/>
      <c r="AC6" s="72"/>
      <c r="AD6" s="73"/>
      <c r="AE6" s="72"/>
      <c r="AF6" s="72"/>
      <c r="AG6" s="73"/>
      <c r="AH6" s="64"/>
    </row>
    <row r="7" spans="1:34" s="33" customFormat="1" ht="30" customHeight="1" x14ac:dyDescent="0.25">
      <c r="B7" s="74"/>
      <c r="C7" s="75"/>
      <c r="D7" s="22" t="str">
        <f>IFERROR(IF(Menu!$D10="","",Menu!$D10),"")</f>
        <v>Monthly Revenue</v>
      </c>
      <c r="E7" s="17"/>
      <c r="F7" s="18"/>
      <c r="G7" s="19" t="str">
        <f>IFERROR(IF(Menu!$D11="","",Menu!$D11),"")</f>
        <v>Customer Acquisition Cost (CAC)</v>
      </c>
      <c r="H7" s="20"/>
      <c r="I7" s="21"/>
      <c r="J7" s="22" t="str">
        <f>IFERROR(IF(Menu!$D12="","",Menu!$D12),"")</f>
        <v>Conversion Rate</v>
      </c>
      <c r="K7" s="17"/>
      <c r="L7" s="23"/>
      <c r="M7" s="19" t="str">
        <f>IFERROR(IF(Menu!$D13="","",Menu!$D13),"")</f>
        <v>Customer Lifetime Value (CLV)</v>
      </c>
      <c r="N7" s="20"/>
      <c r="O7" s="21"/>
      <c r="P7" s="22" t="str">
        <f>IFERROR(IF(Menu!$D14="","",Menu!$D14),"")</f>
        <v>Customer Retention Rate</v>
      </c>
      <c r="Q7" s="17"/>
      <c r="R7" s="23"/>
      <c r="S7" s="19" t="str">
        <f>IFERROR(IF(Menu!$D15="","",Menu!$D15),"")</f>
        <v>Net Promoter Score (NPS)</v>
      </c>
      <c r="T7" s="20"/>
      <c r="U7" s="21"/>
      <c r="V7" s="22" t="str">
        <f>IFERROR(IF(Menu!$D16="","",Menu!$D16),"")</f>
        <v>Gross Profit Margin</v>
      </c>
      <c r="W7" s="17"/>
      <c r="X7" s="23"/>
      <c r="Y7" s="19" t="str">
        <f>IFERROR(IF(Menu!$D17="","",Menu!$D17),"")</f>
        <v>Cash Flow</v>
      </c>
      <c r="Z7" s="20"/>
      <c r="AA7" s="21"/>
      <c r="AB7" s="22" t="str">
        <f>IFERROR(IF(Menu!$D18="","",Menu!$D18),"")</f>
        <v>Average Order Value (AOV)</v>
      </c>
      <c r="AC7" s="17"/>
      <c r="AD7" s="23"/>
      <c r="AE7" s="19" t="str">
        <f>IFERROR(IF(Menu!$D19="","",Menu!$D19),"")</f>
        <v>Employee Productivity</v>
      </c>
      <c r="AF7" s="20"/>
      <c r="AG7" s="34"/>
      <c r="AH7" s="76"/>
    </row>
    <row r="8" spans="1:34" ht="22.5" customHeight="1" x14ac:dyDescent="0.25">
      <c r="B8" s="62"/>
      <c r="C8" s="4" t="s">
        <v>85</v>
      </c>
      <c r="D8" s="3" t="s">
        <v>7</v>
      </c>
      <c r="E8" s="5" t="s">
        <v>8</v>
      </c>
      <c r="F8" s="7"/>
      <c r="G8" s="3" t="s">
        <v>7</v>
      </c>
      <c r="H8" s="5" t="s">
        <v>8</v>
      </c>
      <c r="I8" s="7"/>
      <c r="J8" s="3" t="s">
        <v>7</v>
      </c>
      <c r="K8" s="5" t="s">
        <v>8</v>
      </c>
      <c r="L8" s="7"/>
      <c r="M8" s="3" t="s">
        <v>7</v>
      </c>
      <c r="N8" s="5" t="s">
        <v>8</v>
      </c>
      <c r="O8" s="7"/>
      <c r="P8" s="3" t="s">
        <v>7</v>
      </c>
      <c r="Q8" s="5" t="s">
        <v>8</v>
      </c>
      <c r="R8" s="7"/>
      <c r="S8" s="3" t="s">
        <v>7</v>
      </c>
      <c r="T8" s="5" t="s">
        <v>8</v>
      </c>
      <c r="U8" s="7"/>
      <c r="V8" s="3" t="s">
        <v>7</v>
      </c>
      <c r="W8" s="5" t="s">
        <v>8</v>
      </c>
      <c r="X8" s="7"/>
      <c r="Y8" s="3" t="s">
        <v>7</v>
      </c>
      <c r="Z8" s="5" t="s">
        <v>8</v>
      </c>
      <c r="AA8" s="7"/>
      <c r="AB8" s="3" t="s">
        <v>7</v>
      </c>
      <c r="AC8" s="5" t="s">
        <v>8</v>
      </c>
      <c r="AD8" s="7"/>
      <c r="AE8" s="3" t="s">
        <v>7</v>
      </c>
      <c r="AF8" s="5" t="s">
        <v>8</v>
      </c>
      <c r="AG8" s="7"/>
      <c r="AH8" s="64"/>
    </row>
    <row r="9" spans="1:34" s="32" customFormat="1" ht="22.5" customHeight="1" x14ac:dyDescent="0.25">
      <c r="B9" s="77" t="s">
        <v>33</v>
      </c>
      <c r="C9" s="24" t="str">
        <f ca="1">IFERROR(Calc!K8,"")</f>
        <v>20 Oct - 26 Oct</v>
      </c>
      <c r="D9" s="13">
        <v>1000</v>
      </c>
      <c r="E9" s="14">
        <v>200</v>
      </c>
      <c r="F9" s="10">
        <f>IFERROR(IF(INDEX(Menu!$G$10:$G$19,MATCH(Report!D$7,Menu!$D$10:$D$19,0))=Calc!$D$9,Report!D9/Report!E9*100,Report!E9/Report!D9*100),"")</f>
        <v>20</v>
      </c>
      <c r="G9" s="13">
        <v>10</v>
      </c>
      <c r="H9" s="14">
        <v>8</v>
      </c>
      <c r="I9" s="10">
        <f>IFERROR(IF(INDEX(Menu!$G$10:$G$19,MATCH(Report!G$7,Menu!$D$10:$D$19,0))=Calc!$D$9,Report!G9/Report!H9*100,Report!H9/Report!G9*100),"")</f>
        <v>125</v>
      </c>
      <c r="J9" s="13">
        <v>5</v>
      </c>
      <c r="K9" s="14">
        <v>4</v>
      </c>
      <c r="L9" s="10">
        <f>IFERROR(IF(INDEX(Menu!$G$10:$G$19,MATCH(Report!J$7,Menu!$D$10:$D$19,0))=Calc!$D$9,Report!J9/Report!K9*100,Report!K9/Report!J9*100),"")</f>
        <v>80</v>
      </c>
      <c r="M9" s="13">
        <v>3000</v>
      </c>
      <c r="N9" s="14">
        <v>3500</v>
      </c>
      <c r="O9" s="10">
        <f>IFERROR(IF(INDEX(Menu!$G$10:$G$19,MATCH(Report!M$7,Menu!$D$10:$D$19,0))=Calc!$D$9,Report!M9/Report!N9*100,Report!N9/Report!M9*100),"")</f>
        <v>116.66666666666667</v>
      </c>
      <c r="P9" s="13">
        <v>30</v>
      </c>
      <c r="Q9" s="14">
        <v>25</v>
      </c>
      <c r="R9" s="10">
        <f>IFERROR(IF(INDEX(Menu!$G$10:$G$19,MATCH(Report!P$7,Menu!$D$10:$D$19,0))=Calc!$D$9,Report!P9/Report!Q9*100,Report!Q9/Report!P9*100),"")</f>
        <v>83.333333333333343</v>
      </c>
      <c r="S9" s="13">
        <v>200</v>
      </c>
      <c r="T9" s="14">
        <v>100</v>
      </c>
      <c r="U9" s="10">
        <f>IFERROR(IF(INDEX(Menu!$G$10:$G$19,MATCH(Report!S$7,Menu!$D$10:$D$19,0))=Calc!$D$9,Report!S9/Report!T9*100,Report!T9/Report!S9*100),"")</f>
        <v>50</v>
      </c>
      <c r="V9" s="13">
        <v>20</v>
      </c>
      <c r="W9" s="14">
        <v>20</v>
      </c>
      <c r="X9" s="10">
        <f>IFERROR(IF(INDEX(Menu!$G$10:$G$19,MATCH(Report!V$7,Menu!$D$10:$D$19,0))=Calc!$D$9,Report!V9/Report!W9*100,Report!W9/Report!V9*100),"")</f>
        <v>100</v>
      </c>
      <c r="Y9" s="13">
        <v>25000</v>
      </c>
      <c r="Z9" s="14">
        <v>25000</v>
      </c>
      <c r="AA9" s="10">
        <f>IFERROR(IF(INDEX(Menu!$G$10:$G$19,MATCH(Report!Y$7,Menu!$D$10:$D$19,0))=Calc!$D$9,Report!Y9/Report!Z9*100,Report!Z9/Report!Y9*100),"")</f>
        <v>100</v>
      </c>
      <c r="AB9" s="13">
        <v>200</v>
      </c>
      <c r="AC9" s="14">
        <v>150</v>
      </c>
      <c r="AD9" s="10">
        <f>IFERROR(IF(INDEX(Menu!$G$10:$G$19,MATCH(Report!AB$7,Menu!$D$10:$D$19,0))=Calc!$D$9,Report!AB9/Report!AC9*100,Report!AC9/Report!AB9*100),"")</f>
        <v>75</v>
      </c>
      <c r="AE9" s="13">
        <v>90</v>
      </c>
      <c r="AF9" s="14">
        <v>80</v>
      </c>
      <c r="AG9" s="10">
        <f>IFERROR(IF(INDEX(Menu!$G$10:$G$19,MATCH(Report!AE$7,Menu!$D$10:$D$19,0))=Calc!$D$9,Report!AE9/Report!AF9*100,Report!AF9/Report!AE9*100),"")</f>
        <v>88.888888888888886</v>
      </c>
      <c r="AH9" s="78"/>
    </row>
    <row r="10" spans="1:34" s="32" customFormat="1" ht="22.5" customHeight="1" x14ac:dyDescent="0.25">
      <c r="B10" s="77" t="s">
        <v>34</v>
      </c>
      <c r="C10" s="24" t="str">
        <f ca="1">IFERROR(Calc!K9,"")</f>
        <v>27 Oct - 2 Nov</v>
      </c>
      <c r="D10" s="15">
        <v>1000</v>
      </c>
      <c r="E10" s="16">
        <v>920</v>
      </c>
      <c r="F10" s="11">
        <f>IFERROR(IF(INDEX(Menu!$G$10:$G$19,MATCH(Report!D$7,Menu!$D$10:$D$19,0))=Calc!$D$9,Report!D10/Report!E10*100,Report!E10/Report!D10*100),"")</f>
        <v>92</v>
      </c>
      <c r="G10" s="15">
        <v>10</v>
      </c>
      <c r="H10" s="16">
        <v>12</v>
      </c>
      <c r="I10" s="11">
        <f>IFERROR(IF(INDEX(Menu!$G$10:$G$19,MATCH(Report!G$7,Menu!$D$10:$D$19,0))=Calc!$D$9,Report!G10/Report!H10*100,Report!H10/Report!G10*100),"")</f>
        <v>83.333333333333343</v>
      </c>
      <c r="J10" s="15">
        <v>5</v>
      </c>
      <c r="K10" s="16">
        <v>4</v>
      </c>
      <c r="L10" s="11">
        <f>IFERROR(IF(INDEX(Menu!$G$10:$G$19,MATCH(Report!J$7,Menu!$D$10:$D$19,0))=Calc!$D$9,Report!J10/Report!K10*100,Report!K10/Report!J10*100),"")</f>
        <v>80</v>
      </c>
      <c r="M10" s="15">
        <v>3000</v>
      </c>
      <c r="N10" s="16">
        <v>2900</v>
      </c>
      <c r="O10" s="11">
        <f>IFERROR(IF(INDEX(Menu!$G$10:$G$19,MATCH(Report!M$7,Menu!$D$10:$D$19,0))=Calc!$D$9,Report!M10/Report!N10*100,Report!N10/Report!M10*100),"")</f>
        <v>96.666666666666671</v>
      </c>
      <c r="P10" s="15"/>
      <c r="Q10" s="16"/>
      <c r="R10" s="11" t="str">
        <f>IFERROR(IF(INDEX(Menu!$G$10:$G$19,MATCH(Report!P$7,Menu!$D$10:$D$19,0))=Calc!$D$9,Report!P10/Report!Q10*100,Report!Q10/Report!P10*100),"")</f>
        <v/>
      </c>
      <c r="S10" s="15">
        <v>200</v>
      </c>
      <c r="T10" s="16">
        <v>150</v>
      </c>
      <c r="U10" s="11">
        <f>IFERROR(IF(INDEX(Menu!$G$10:$G$19,MATCH(Report!S$7,Menu!$D$10:$D$19,0))=Calc!$D$9,Report!S10/Report!T10*100,Report!T10/Report!S10*100),"")</f>
        <v>75</v>
      </c>
      <c r="V10" s="15">
        <v>20</v>
      </c>
      <c r="W10" s="16">
        <v>18</v>
      </c>
      <c r="X10" s="11">
        <f>IFERROR(IF(INDEX(Menu!$G$10:$G$19,MATCH(Report!V$7,Menu!$D$10:$D$19,0))=Calc!$D$9,Report!V10/Report!W10*100,Report!W10/Report!V10*100),"")</f>
        <v>90</v>
      </c>
      <c r="Y10" s="15">
        <v>25000</v>
      </c>
      <c r="Z10" s="16">
        <v>18000</v>
      </c>
      <c r="AA10" s="11">
        <f>IFERROR(IF(INDEX(Menu!$G$10:$G$19,MATCH(Report!Y$7,Menu!$D$10:$D$19,0))=Calc!$D$9,Report!Y10/Report!Z10*100,Report!Z10/Report!Y10*100),"")</f>
        <v>72</v>
      </c>
      <c r="AB10" s="15">
        <v>200</v>
      </c>
      <c r="AC10" s="16">
        <v>220</v>
      </c>
      <c r="AD10" s="11">
        <f>IFERROR(IF(INDEX(Menu!$G$10:$G$19,MATCH(Report!AB$7,Menu!$D$10:$D$19,0))=Calc!$D$9,Report!AB10/Report!AC10*100,Report!AC10/Report!AB10*100),"")</f>
        <v>110.00000000000001</v>
      </c>
      <c r="AE10" s="15">
        <v>90</v>
      </c>
      <c r="AF10" s="16">
        <v>71</v>
      </c>
      <c r="AG10" s="11">
        <f>IFERROR(IF(INDEX(Menu!$G$10:$G$19,MATCH(Report!AE$7,Menu!$D$10:$D$19,0))=Calc!$D$9,Report!AE10/Report!AF10*100,Report!AF10/Report!AE10*100),"")</f>
        <v>78.888888888888886</v>
      </c>
      <c r="AH10" s="78"/>
    </row>
    <row r="11" spans="1:34" s="32" customFormat="1" ht="22.5" customHeight="1" x14ac:dyDescent="0.25">
      <c r="B11" s="77" t="s">
        <v>35</v>
      </c>
      <c r="C11" s="24" t="str">
        <f ca="1">IFERROR(Calc!K10,"")</f>
        <v>3 Nov - 9 Nov</v>
      </c>
      <c r="D11" s="15">
        <v>1000</v>
      </c>
      <c r="E11" s="16">
        <v>1050</v>
      </c>
      <c r="F11" s="11">
        <f>IFERROR(IF(INDEX(Menu!$G$10:$G$19,MATCH(Report!D$7,Menu!$D$10:$D$19,0))=Calc!$D$9,Report!D11/Report!E11*100,Report!E11/Report!D11*100),"")</f>
        <v>105</v>
      </c>
      <c r="G11" s="15">
        <v>10</v>
      </c>
      <c r="H11" s="16">
        <v>11</v>
      </c>
      <c r="I11" s="11">
        <f>IFERROR(IF(INDEX(Menu!$G$10:$G$19,MATCH(Report!G$7,Menu!$D$10:$D$19,0))=Calc!$D$9,Report!G11/Report!H11*100,Report!H11/Report!G11*100),"")</f>
        <v>90.909090909090907</v>
      </c>
      <c r="J11" s="15">
        <v>5</v>
      </c>
      <c r="K11" s="16">
        <v>4</v>
      </c>
      <c r="L11" s="11">
        <f>IFERROR(IF(INDEX(Menu!$G$10:$G$19,MATCH(Report!J$7,Menu!$D$10:$D$19,0))=Calc!$D$9,Report!J11/Report!K11*100,Report!K11/Report!J11*100),"")</f>
        <v>80</v>
      </c>
      <c r="M11" s="15">
        <v>2000</v>
      </c>
      <c r="N11" s="16">
        <v>2000</v>
      </c>
      <c r="O11" s="11">
        <f>IFERROR(IF(INDEX(Menu!$G$10:$G$19,MATCH(Report!M$7,Menu!$D$10:$D$19,0))=Calc!$D$9,Report!M11/Report!N11*100,Report!N11/Report!M11*100),"")</f>
        <v>100</v>
      </c>
      <c r="P11" s="15"/>
      <c r="Q11" s="16"/>
      <c r="R11" s="11" t="str">
        <f>IFERROR(IF(INDEX(Menu!$G$10:$G$19,MATCH(Report!P$7,Menu!$D$10:$D$19,0))=Calc!$D$9,Report!P11/Report!Q11*100,Report!Q11/Report!P11*100),"")</f>
        <v/>
      </c>
      <c r="S11" s="15"/>
      <c r="T11" s="16"/>
      <c r="U11" s="11" t="str">
        <f>IFERROR(IF(INDEX(Menu!$G$10:$G$19,MATCH(Report!S$7,Menu!$D$10:$D$19,0))=Calc!$D$9,Report!S11/Report!T11*100,Report!T11/Report!S11*100),"")</f>
        <v/>
      </c>
      <c r="V11" s="15">
        <v>20</v>
      </c>
      <c r="W11" s="16">
        <v>25</v>
      </c>
      <c r="X11" s="11">
        <f>IFERROR(IF(INDEX(Menu!$G$10:$G$19,MATCH(Report!V$7,Menu!$D$10:$D$19,0))=Calc!$D$9,Report!V11/Report!W11*100,Report!W11/Report!V11*100),"")</f>
        <v>125</v>
      </c>
      <c r="Y11" s="15"/>
      <c r="Z11" s="16"/>
      <c r="AA11" s="11" t="str">
        <f>IFERROR(IF(INDEX(Menu!$G$10:$G$19,MATCH(Report!Y$7,Menu!$D$10:$D$19,0))=Calc!$D$9,Report!Y11/Report!Z11*100,Report!Z11/Report!Y11*100),"")</f>
        <v/>
      </c>
      <c r="AB11" s="15"/>
      <c r="AC11" s="16"/>
      <c r="AD11" s="11" t="str">
        <f>IFERROR(IF(INDEX(Menu!$G$10:$G$19,MATCH(Report!AB$7,Menu!$D$10:$D$19,0))=Calc!$D$9,Report!AB11/Report!AC11*100,Report!AC11/Report!AB11*100),"")</f>
        <v/>
      </c>
      <c r="AE11" s="15"/>
      <c r="AF11" s="16"/>
      <c r="AG11" s="11" t="str">
        <f>IFERROR(IF(INDEX(Menu!$G$10:$G$19,MATCH(Report!AE$7,Menu!$D$10:$D$19,0))=Calc!$D$9,Report!AE11/Report!AF11*100,Report!AF11/Report!AE11*100),"")</f>
        <v/>
      </c>
      <c r="AH11" s="78"/>
    </row>
    <row r="12" spans="1:34" s="32" customFormat="1" ht="22.5" customHeight="1" x14ac:dyDescent="0.25">
      <c r="B12" s="77" t="s">
        <v>36</v>
      </c>
      <c r="C12" s="24" t="str">
        <f ca="1">IFERROR(Calc!K11,"")</f>
        <v>10 Nov - 16 Nov</v>
      </c>
      <c r="D12" s="13">
        <v>1000</v>
      </c>
      <c r="E12" s="16">
        <v>200</v>
      </c>
      <c r="F12" s="12">
        <f>IFERROR(IF(INDEX(Menu!$G$10:$G$19,MATCH(Report!D$7,Menu!$D$10:$D$19,0))=Calc!$D$9,Report!D12/Report!E12*100,Report!E12/Report!D12*100),"")</f>
        <v>20</v>
      </c>
      <c r="G12" s="13">
        <v>10</v>
      </c>
      <c r="H12" s="16">
        <v>15</v>
      </c>
      <c r="I12" s="12">
        <f>IFERROR(IF(INDEX(Menu!$G$10:$G$19,MATCH(Report!G$7,Menu!$D$10:$D$19,0))=Calc!$D$9,Report!G12/Report!H12*100,Report!H12/Report!G12*100),"")</f>
        <v>66.666666666666657</v>
      </c>
      <c r="J12" s="13">
        <v>5</v>
      </c>
      <c r="K12" s="16">
        <v>2</v>
      </c>
      <c r="L12" s="12">
        <f>IFERROR(IF(INDEX(Menu!$G$10:$G$19,MATCH(Report!J$7,Menu!$D$10:$D$19,0))=Calc!$D$9,Report!J12/Report!K12*100,Report!K12/Report!J12*100),"")</f>
        <v>40</v>
      </c>
      <c r="M12" s="13"/>
      <c r="N12" s="16"/>
      <c r="O12" s="12" t="str">
        <f>IFERROR(IF(INDEX(Menu!$G$10:$G$19,MATCH(Report!M$7,Menu!$D$10:$D$19,0))=Calc!$D$9,Report!M12/Report!N12*100,Report!N12/Report!M12*100),"")</f>
        <v/>
      </c>
      <c r="P12" s="13"/>
      <c r="Q12" s="16"/>
      <c r="R12" s="12" t="str">
        <f>IFERROR(IF(INDEX(Menu!$G$10:$G$19,MATCH(Report!P$7,Menu!$D$10:$D$19,0))=Calc!$D$9,Report!P12/Report!Q12*100,Report!Q12/Report!P12*100),"")</f>
        <v/>
      </c>
      <c r="S12" s="13"/>
      <c r="T12" s="16"/>
      <c r="U12" s="12" t="str">
        <f>IFERROR(IF(INDEX(Menu!$G$10:$G$19,MATCH(Report!S$7,Menu!$D$10:$D$19,0))=Calc!$D$9,Report!S12/Report!T12*100,Report!T12/Report!S12*100),"")</f>
        <v/>
      </c>
      <c r="V12" s="13">
        <v>20</v>
      </c>
      <c r="W12" s="16">
        <v>25</v>
      </c>
      <c r="X12" s="12">
        <f>IFERROR(IF(INDEX(Menu!$G$10:$G$19,MATCH(Report!V$7,Menu!$D$10:$D$19,0))=Calc!$D$9,Report!V12/Report!W12*100,Report!W12/Report!V12*100),"")</f>
        <v>125</v>
      </c>
      <c r="Y12" s="13"/>
      <c r="Z12" s="16"/>
      <c r="AA12" s="12" t="str">
        <f>IFERROR(IF(INDEX(Menu!$G$10:$G$19,MATCH(Report!Y$7,Menu!$D$10:$D$19,0))=Calc!$D$9,Report!Y12/Report!Z12*100,Report!Z12/Report!Y12*100),"")</f>
        <v/>
      </c>
      <c r="AB12" s="13"/>
      <c r="AC12" s="16"/>
      <c r="AD12" s="12" t="str">
        <f>IFERROR(IF(INDEX(Menu!$G$10:$G$19,MATCH(Report!AB$7,Menu!$D$10:$D$19,0))=Calc!$D$9,Report!AB12/Report!AC12*100,Report!AC12/Report!AB12*100),"")</f>
        <v/>
      </c>
      <c r="AE12" s="13"/>
      <c r="AF12" s="16"/>
      <c r="AG12" s="12" t="str">
        <f>IFERROR(IF(INDEX(Menu!$G$10:$G$19,MATCH(Report!AE$7,Menu!$D$10:$D$19,0))=Calc!$D$9,Report!AE12/Report!AF12*100,Report!AF12/Report!AE12*100),"")</f>
        <v/>
      </c>
      <c r="AH12" s="78"/>
    </row>
    <row r="13" spans="1:34" s="32" customFormat="1" ht="22.5" customHeight="1" x14ac:dyDescent="0.25">
      <c r="B13" s="77" t="s">
        <v>37</v>
      </c>
      <c r="C13" s="24" t="str">
        <f ca="1">IFERROR(Calc!K12,"")</f>
        <v>17 Nov - 23 Nov</v>
      </c>
      <c r="D13" s="13">
        <v>1000</v>
      </c>
      <c r="E13" s="16">
        <v>2000</v>
      </c>
      <c r="F13" s="12">
        <f>IFERROR(IF(INDEX(Menu!$G$10:$G$19,MATCH(Report!D$7,Menu!$D$10:$D$19,0))=Calc!$D$9,Report!D13/Report!E13*100,Report!E13/Report!D13*100),"")</f>
        <v>200</v>
      </c>
      <c r="G13" s="13">
        <v>10</v>
      </c>
      <c r="H13" s="16">
        <v>9</v>
      </c>
      <c r="I13" s="12">
        <f>IFERROR(IF(INDEX(Menu!$G$10:$G$19,MATCH(Report!G$7,Menu!$D$10:$D$19,0))=Calc!$D$9,Report!G13/Report!H13*100,Report!H13/Report!G13*100),"")</f>
        <v>111.11111111111111</v>
      </c>
      <c r="J13" s="13">
        <v>5</v>
      </c>
      <c r="K13" s="16">
        <v>2</v>
      </c>
      <c r="L13" s="12">
        <f>IFERROR(IF(INDEX(Menu!$G$10:$G$19,MATCH(Report!J$7,Menu!$D$10:$D$19,0))=Calc!$D$9,Report!J13/Report!K13*100,Report!K13/Report!J13*100),"")</f>
        <v>40</v>
      </c>
      <c r="M13" s="13"/>
      <c r="N13" s="16"/>
      <c r="O13" s="12" t="str">
        <f>IFERROR(IF(INDEX(Menu!$G$10:$G$19,MATCH(Report!M$7,Menu!$D$10:$D$19,0))=Calc!$D$9,Report!M13/Report!N13*100,Report!N13/Report!M13*100),"")</f>
        <v/>
      </c>
      <c r="P13" s="13"/>
      <c r="Q13" s="16"/>
      <c r="R13" s="12" t="str">
        <f>IFERROR(IF(INDEX(Menu!$G$10:$G$19,MATCH(Report!P$7,Menu!$D$10:$D$19,0))=Calc!$D$9,Report!P13/Report!Q13*100,Report!Q13/Report!P13*100),"")</f>
        <v/>
      </c>
      <c r="S13" s="13"/>
      <c r="T13" s="16"/>
      <c r="U13" s="12" t="str">
        <f>IFERROR(IF(INDEX(Menu!$G$10:$G$19,MATCH(Report!S$7,Menu!$D$10:$D$19,0))=Calc!$D$9,Report!S13/Report!T13*100,Report!T13/Report!S13*100),"")</f>
        <v/>
      </c>
      <c r="V13" s="13"/>
      <c r="W13" s="16"/>
      <c r="X13" s="12" t="str">
        <f>IFERROR(IF(INDEX(Menu!$G$10:$G$19,MATCH(Report!V$7,Menu!$D$10:$D$19,0))=Calc!$D$9,Report!V13/Report!W13*100,Report!W13/Report!V13*100),"")</f>
        <v/>
      </c>
      <c r="Y13" s="13"/>
      <c r="Z13" s="16"/>
      <c r="AA13" s="12" t="str">
        <f>IFERROR(IF(INDEX(Menu!$G$10:$G$19,MATCH(Report!Y$7,Menu!$D$10:$D$19,0))=Calc!$D$9,Report!Y13/Report!Z13*100,Report!Z13/Report!Y13*100),"")</f>
        <v/>
      </c>
      <c r="AB13" s="13"/>
      <c r="AC13" s="16"/>
      <c r="AD13" s="12" t="str">
        <f>IFERROR(IF(INDEX(Menu!$G$10:$G$19,MATCH(Report!AB$7,Menu!$D$10:$D$19,0))=Calc!$D$9,Report!AB13/Report!AC13*100,Report!AC13/Report!AB13*100),"")</f>
        <v/>
      </c>
      <c r="AE13" s="13"/>
      <c r="AF13" s="16"/>
      <c r="AG13" s="12" t="str">
        <f>IFERROR(IF(INDEX(Menu!$G$10:$G$19,MATCH(Report!AE$7,Menu!$D$10:$D$19,0))=Calc!$D$9,Report!AE13/Report!AF13*100,Report!AF13/Report!AE13*100),"")</f>
        <v/>
      </c>
      <c r="AH13" s="78"/>
    </row>
    <row r="14" spans="1:34" s="32" customFormat="1" ht="22.5" customHeight="1" x14ac:dyDescent="0.25">
      <c r="B14" s="77" t="s">
        <v>38</v>
      </c>
      <c r="C14" s="24" t="str">
        <f ca="1">IFERROR(Calc!K13,"")</f>
        <v>24 Nov - 30 Nov</v>
      </c>
      <c r="D14" s="13">
        <v>1000</v>
      </c>
      <c r="E14" s="16">
        <v>250</v>
      </c>
      <c r="F14" s="12">
        <f>IFERROR(IF(INDEX(Menu!$G$10:$G$19,MATCH(Report!D$7,Menu!$D$10:$D$19,0))=Calc!$D$9,Report!D14/Report!E14*100,Report!E14/Report!D14*100),"")</f>
        <v>25</v>
      </c>
      <c r="G14" s="13"/>
      <c r="H14" s="16"/>
      <c r="I14" s="12" t="str">
        <f>IFERROR(IF(INDEX(Menu!$G$10:$G$19,MATCH(Report!G$7,Menu!$D$10:$D$19,0))=Calc!$D$9,Report!G14/Report!H14*100,Report!H14/Report!G14*100),"")</f>
        <v/>
      </c>
      <c r="J14" s="13">
        <v>5</v>
      </c>
      <c r="K14" s="16">
        <v>3</v>
      </c>
      <c r="L14" s="12">
        <f>IFERROR(IF(INDEX(Menu!$G$10:$G$19,MATCH(Report!J$7,Menu!$D$10:$D$19,0))=Calc!$D$9,Report!J14/Report!K14*100,Report!K14/Report!J14*100),"")</f>
        <v>60</v>
      </c>
      <c r="M14" s="13"/>
      <c r="N14" s="16"/>
      <c r="O14" s="12" t="str">
        <f>IFERROR(IF(INDEX(Menu!$G$10:$G$19,MATCH(Report!M$7,Menu!$D$10:$D$19,0))=Calc!$D$9,Report!M14/Report!N14*100,Report!N14/Report!M14*100),"")</f>
        <v/>
      </c>
      <c r="P14" s="13"/>
      <c r="Q14" s="16"/>
      <c r="R14" s="12" t="str">
        <f>IFERROR(IF(INDEX(Menu!$G$10:$G$19,MATCH(Report!P$7,Menu!$D$10:$D$19,0))=Calc!$D$9,Report!P14/Report!Q14*100,Report!Q14/Report!P14*100),"")</f>
        <v/>
      </c>
      <c r="S14" s="13"/>
      <c r="T14" s="16"/>
      <c r="U14" s="12" t="str">
        <f>IFERROR(IF(INDEX(Menu!$G$10:$G$19,MATCH(Report!S$7,Menu!$D$10:$D$19,0))=Calc!$D$9,Report!S14/Report!T14*100,Report!T14/Report!S14*100),"")</f>
        <v/>
      </c>
      <c r="V14" s="13"/>
      <c r="W14" s="16"/>
      <c r="X14" s="12" t="str">
        <f>IFERROR(IF(INDEX(Menu!$G$10:$G$19,MATCH(Report!V$7,Menu!$D$10:$D$19,0))=Calc!$D$9,Report!V14/Report!W14*100,Report!W14/Report!V14*100),"")</f>
        <v/>
      </c>
      <c r="Y14" s="13"/>
      <c r="Z14" s="16"/>
      <c r="AA14" s="12" t="str">
        <f>IFERROR(IF(INDEX(Menu!$G$10:$G$19,MATCH(Report!Y$7,Menu!$D$10:$D$19,0))=Calc!$D$9,Report!Y14/Report!Z14*100,Report!Z14/Report!Y14*100),"")</f>
        <v/>
      </c>
      <c r="AB14" s="13"/>
      <c r="AC14" s="16"/>
      <c r="AD14" s="12" t="str">
        <f>IFERROR(IF(INDEX(Menu!$G$10:$G$19,MATCH(Report!AB$7,Menu!$D$10:$D$19,0))=Calc!$D$9,Report!AB14/Report!AC14*100,Report!AC14/Report!AB14*100),"")</f>
        <v/>
      </c>
      <c r="AE14" s="13"/>
      <c r="AF14" s="16"/>
      <c r="AG14" s="12" t="str">
        <f>IFERROR(IF(INDEX(Menu!$G$10:$G$19,MATCH(Report!AE$7,Menu!$D$10:$D$19,0))=Calc!$D$9,Report!AE14/Report!AF14*100,Report!AF14/Report!AE14*100),"")</f>
        <v/>
      </c>
      <c r="AH14" s="78"/>
    </row>
    <row r="15" spans="1:34" s="32" customFormat="1" ht="22.5" customHeight="1" x14ac:dyDescent="0.25">
      <c r="B15" s="77" t="s">
        <v>39</v>
      </c>
      <c r="C15" s="24" t="str">
        <f ca="1">IFERROR(Calc!K14,"")</f>
        <v>1 Dec - 7 Dec</v>
      </c>
      <c r="D15" s="13">
        <v>1000</v>
      </c>
      <c r="E15" s="16">
        <v>900</v>
      </c>
      <c r="F15" s="12">
        <f>IFERROR(IF(INDEX(Menu!$G$10:$G$19,MATCH(Report!D$7,Menu!$D$10:$D$19,0))=Calc!$D$9,Report!D15/Report!E15*100,Report!E15/Report!D15*100),"")</f>
        <v>90</v>
      </c>
      <c r="G15" s="13"/>
      <c r="H15" s="16"/>
      <c r="I15" s="12" t="str">
        <f>IFERROR(IF(INDEX(Menu!$G$10:$G$19,MATCH(Report!G$7,Menu!$D$10:$D$19,0))=Calc!$D$9,Report!G15/Report!H15*100,Report!H15/Report!G15*100),"")</f>
        <v/>
      </c>
      <c r="J15" s="13"/>
      <c r="K15" s="16"/>
      <c r="L15" s="12" t="str">
        <f>IFERROR(IF(INDEX(Menu!$G$10:$G$19,MATCH(Report!J$7,Menu!$D$10:$D$19,0))=Calc!$D$9,Report!J15/Report!K15*100,Report!K15/Report!J15*100),"")</f>
        <v/>
      </c>
      <c r="M15" s="13"/>
      <c r="N15" s="16"/>
      <c r="O15" s="12" t="str">
        <f>IFERROR(IF(INDEX(Menu!$G$10:$G$19,MATCH(Report!M$7,Menu!$D$10:$D$19,0))=Calc!$D$9,Report!M15/Report!N15*100,Report!N15/Report!M15*100),"")</f>
        <v/>
      </c>
      <c r="P15" s="13"/>
      <c r="Q15" s="16"/>
      <c r="R15" s="12" t="str">
        <f>IFERROR(IF(INDEX(Menu!$G$10:$G$19,MATCH(Report!P$7,Menu!$D$10:$D$19,0))=Calc!$D$9,Report!P15/Report!Q15*100,Report!Q15/Report!P15*100),"")</f>
        <v/>
      </c>
      <c r="S15" s="13"/>
      <c r="T15" s="16"/>
      <c r="U15" s="12" t="str">
        <f>IFERROR(IF(INDEX(Menu!$G$10:$G$19,MATCH(Report!S$7,Menu!$D$10:$D$19,0))=Calc!$D$9,Report!S15/Report!T15*100,Report!T15/Report!S15*100),"")</f>
        <v/>
      </c>
      <c r="V15" s="13"/>
      <c r="W15" s="16"/>
      <c r="X15" s="12" t="str">
        <f>IFERROR(IF(INDEX(Menu!$G$10:$G$19,MATCH(Report!V$7,Menu!$D$10:$D$19,0))=Calc!$D$9,Report!V15/Report!W15*100,Report!W15/Report!V15*100),"")</f>
        <v/>
      </c>
      <c r="Y15" s="13"/>
      <c r="Z15" s="16"/>
      <c r="AA15" s="12" t="str">
        <f>IFERROR(IF(INDEX(Menu!$G$10:$G$19,MATCH(Report!Y$7,Menu!$D$10:$D$19,0))=Calc!$D$9,Report!Y15/Report!Z15*100,Report!Z15/Report!Y15*100),"")</f>
        <v/>
      </c>
      <c r="AB15" s="13"/>
      <c r="AC15" s="16"/>
      <c r="AD15" s="12" t="str">
        <f>IFERROR(IF(INDEX(Menu!$G$10:$G$19,MATCH(Report!AB$7,Menu!$D$10:$D$19,0))=Calc!$D$9,Report!AB15/Report!AC15*100,Report!AC15/Report!AB15*100),"")</f>
        <v/>
      </c>
      <c r="AE15" s="13"/>
      <c r="AF15" s="16"/>
      <c r="AG15" s="12" t="str">
        <f>IFERROR(IF(INDEX(Menu!$G$10:$G$19,MATCH(Report!AE$7,Menu!$D$10:$D$19,0))=Calc!$D$9,Report!AE15/Report!AF15*100,Report!AF15/Report!AE15*100),"")</f>
        <v/>
      </c>
      <c r="AH15" s="78"/>
    </row>
    <row r="16" spans="1:34" s="32" customFormat="1" ht="22.5" customHeight="1" x14ac:dyDescent="0.25">
      <c r="B16" s="77" t="s">
        <v>40</v>
      </c>
      <c r="C16" s="24" t="str">
        <f ca="1">IFERROR(Calc!K15,"")</f>
        <v>8 Dec - 14 Dec</v>
      </c>
      <c r="D16" s="13">
        <v>1000</v>
      </c>
      <c r="E16" s="16">
        <v>920</v>
      </c>
      <c r="F16" s="12">
        <f>IFERROR(IF(INDEX(Menu!$G$10:$G$19,MATCH(Report!D$7,Menu!$D$10:$D$19,0))=Calc!$D$9,Report!D16/Report!E16*100,Report!E16/Report!D16*100),"")</f>
        <v>92</v>
      </c>
      <c r="G16" s="13"/>
      <c r="H16" s="16"/>
      <c r="I16" s="12" t="str">
        <f>IFERROR(IF(INDEX(Menu!$G$10:$G$19,MATCH(Report!G$7,Menu!$D$10:$D$19,0))=Calc!$D$9,Report!G16/Report!H16*100,Report!H16/Report!G16*100),"")</f>
        <v/>
      </c>
      <c r="J16" s="13"/>
      <c r="K16" s="16"/>
      <c r="L16" s="12" t="str">
        <f>IFERROR(IF(INDEX(Menu!$G$10:$G$19,MATCH(Report!J$7,Menu!$D$10:$D$19,0))=Calc!$D$9,Report!J16/Report!K16*100,Report!K16/Report!J16*100),"")</f>
        <v/>
      </c>
      <c r="M16" s="13"/>
      <c r="N16" s="16"/>
      <c r="O16" s="12" t="str">
        <f>IFERROR(IF(INDEX(Menu!$G$10:$G$19,MATCH(Report!M$7,Menu!$D$10:$D$19,0))=Calc!$D$9,Report!M16/Report!N16*100,Report!N16/Report!M16*100),"")</f>
        <v/>
      </c>
      <c r="P16" s="13"/>
      <c r="Q16" s="16"/>
      <c r="R16" s="12" t="str">
        <f>IFERROR(IF(INDEX(Menu!$G$10:$G$19,MATCH(Report!P$7,Menu!$D$10:$D$19,0))=Calc!$D$9,Report!P16/Report!Q16*100,Report!Q16/Report!P16*100),"")</f>
        <v/>
      </c>
      <c r="S16" s="13"/>
      <c r="T16" s="16"/>
      <c r="U16" s="12" t="str">
        <f>IFERROR(IF(INDEX(Menu!$G$10:$G$19,MATCH(Report!S$7,Menu!$D$10:$D$19,0))=Calc!$D$9,Report!S16/Report!T16*100,Report!T16/Report!S16*100),"")</f>
        <v/>
      </c>
      <c r="V16" s="13"/>
      <c r="W16" s="16"/>
      <c r="X16" s="12" t="str">
        <f>IFERROR(IF(INDEX(Menu!$G$10:$G$19,MATCH(Report!V$7,Menu!$D$10:$D$19,0))=Calc!$D$9,Report!V16/Report!W16*100,Report!W16/Report!V16*100),"")</f>
        <v/>
      </c>
      <c r="Y16" s="13"/>
      <c r="Z16" s="16"/>
      <c r="AA16" s="12" t="str">
        <f>IFERROR(IF(INDEX(Menu!$G$10:$G$19,MATCH(Report!Y$7,Menu!$D$10:$D$19,0))=Calc!$D$9,Report!Y16/Report!Z16*100,Report!Z16/Report!Y16*100),"")</f>
        <v/>
      </c>
      <c r="AB16" s="13"/>
      <c r="AC16" s="16"/>
      <c r="AD16" s="12" t="str">
        <f>IFERROR(IF(INDEX(Menu!$G$10:$G$19,MATCH(Report!AB$7,Menu!$D$10:$D$19,0))=Calc!$D$9,Report!AB16/Report!AC16*100,Report!AC16/Report!AB16*100),"")</f>
        <v/>
      </c>
      <c r="AE16" s="13"/>
      <c r="AF16" s="16"/>
      <c r="AG16" s="12" t="str">
        <f>IFERROR(IF(INDEX(Menu!$G$10:$G$19,MATCH(Report!AE$7,Menu!$D$10:$D$19,0))=Calc!$D$9,Report!AE16/Report!AF16*100,Report!AF16/Report!AE16*100),"")</f>
        <v/>
      </c>
      <c r="AH16" s="78"/>
    </row>
    <row r="17" spans="2:34" s="32" customFormat="1" ht="22.5" customHeight="1" x14ac:dyDescent="0.25">
      <c r="B17" s="77" t="s">
        <v>41</v>
      </c>
      <c r="C17" s="24" t="str">
        <f ca="1">IFERROR(Calc!K16,"")</f>
        <v>15 Dec - 21 Dec</v>
      </c>
      <c r="D17" s="13">
        <v>1000</v>
      </c>
      <c r="E17" s="16">
        <v>930</v>
      </c>
      <c r="F17" s="12">
        <f>IFERROR(IF(INDEX(Menu!$G$10:$G$19,MATCH(Report!D$7,Menu!$D$10:$D$19,0))=Calc!$D$9,Report!D17/Report!E17*100,Report!E17/Report!D17*100),"")</f>
        <v>93</v>
      </c>
      <c r="G17" s="13"/>
      <c r="H17" s="16"/>
      <c r="I17" s="12" t="str">
        <f>IFERROR(IF(INDEX(Menu!$G$10:$G$19,MATCH(Report!G$7,Menu!$D$10:$D$19,0))=Calc!$D$9,Report!G17/Report!H17*100,Report!H17/Report!G17*100),"")</f>
        <v/>
      </c>
      <c r="J17" s="13"/>
      <c r="K17" s="16"/>
      <c r="L17" s="12" t="str">
        <f>IFERROR(IF(INDEX(Menu!$G$10:$G$19,MATCH(Report!J$7,Menu!$D$10:$D$19,0))=Calc!$D$9,Report!J17/Report!K17*100,Report!K17/Report!J17*100),"")</f>
        <v/>
      </c>
      <c r="M17" s="13"/>
      <c r="N17" s="16"/>
      <c r="O17" s="12" t="str">
        <f>IFERROR(IF(INDEX(Menu!$G$10:$G$19,MATCH(Report!M$7,Menu!$D$10:$D$19,0))=Calc!$D$9,Report!M17/Report!N17*100,Report!N17/Report!M17*100),"")</f>
        <v/>
      </c>
      <c r="P17" s="13"/>
      <c r="Q17" s="16"/>
      <c r="R17" s="12" t="str">
        <f>IFERROR(IF(INDEX(Menu!$G$10:$G$19,MATCH(Report!P$7,Menu!$D$10:$D$19,0))=Calc!$D$9,Report!P17/Report!Q17*100,Report!Q17/Report!P17*100),"")</f>
        <v/>
      </c>
      <c r="S17" s="13"/>
      <c r="T17" s="16"/>
      <c r="U17" s="12" t="str">
        <f>IFERROR(IF(INDEX(Menu!$G$10:$G$19,MATCH(Report!S$7,Menu!$D$10:$D$19,0))=Calc!$D$9,Report!S17/Report!T17*100,Report!T17/Report!S17*100),"")</f>
        <v/>
      </c>
      <c r="V17" s="13"/>
      <c r="W17" s="16"/>
      <c r="X17" s="12" t="str">
        <f>IFERROR(IF(INDEX(Menu!$G$10:$G$19,MATCH(Report!V$7,Menu!$D$10:$D$19,0))=Calc!$D$9,Report!V17/Report!W17*100,Report!W17/Report!V17*100),"")</f>
        <v/>
      </c>
      <c r="Y17" s="13"/>
      <c r="Z17" s="16"/>
      <c r="AA17" s="12" t="str">
        <f>IFERROR(IF(INDEX(Menu!$G$10:$G$19,MATCH(Report!Y$7,Menu!$D$10:$D$19,0))=Calc!$D$9,Report!Y17/Report!Z17*100,Report!Z17/Report!Y17*100),"")</f>
        <v/>
      </c>
      <c r="AB17" s="13"/>
      <c r="AC17" s="16"/>
      <c r="AD17" s="12" t="str">
        <f>IFERROR(IF(INDEX(Menu!$G$10:$G$19,MATCH(Report!AB$7,Menu!$D$10:$D$19,0))=Calc!$D$9,Report!AB17/Report!AC17*100,Report!AC17/Report!AB17*100),"")</f>
        <v/>
      </c>
      <c r="AE17" s="13"/>
      <c r="AF17" s="16"/>
      <c r="AG17" s="12" t="str">
        <f>IFERROR(IF(INDEX(Menu!$G$10:$G$19,MATCH(Report!AE$7,Menu!$D$10:$D$19,0))=Calc!$D$9,Report!AE17/Report!AF17*100,Report!AF17/Report!AE17*100),"")</f>
        <v/>
      </c>
      <c r="AH17" s="78"/>
    </row>
    <row r="18" spans="2:34" s="32" customFormat="1" ht="22.5" customHeight="1" x14ac:dyDescent="0.25">
      <c r="B18" s="77" t="s">
        <v>42</v>
      </c>
      <c r="C18" s="111" t="str">
        <f ca="1">IFERROR(Calc!K17,"")</f>
        <v>22 Dec - 28 Dec</v>
      </c>
      <c r="D18" s="112"/>
      <c r="E18" s="113"/>
      <c r="F18" s="114" t="str">
        <f>IFERROR(IF(INDEX(Menu!$G$10:$G$19,MATCH(Report!D$7,Menu!$D$10:$D$19,0))=Calc!$D$9,Report!D18/Report!E18*100,Report!E18/Report!D18*100),"")</f>
        <v/>
      </c>
      <c r="G18" s="112"/>
      <c r="H18" s="113"/>
      <c r="I18" s="114" t="str">
        <f>IFERROR(IF(INDEX(Menu!$G$10:$G$19,MATCH(Report!G$7,Menu!$D$10:$D$19,0))=Calc!$D$9,Report!G18/Report!H18*100,Report!H18/Report!G18*100),"")</f>
        <v/>
      </c>
      <c r="J18" s="112"/>
      <c r="K18" s="113"/>
      <c r="L18" s="114" t="str">
        <f>IFERROR(IF(INDEX(Menu!$G$10:$G$19,MATCH(Report!J$7,Menu!$D$10:$D$19,0))=Calc!$D$9,Report!J18/Report!K18*100,Report!K18/Report!J18*100),"")</f>
        <v/>
      </c>
      <c r="M18" s="112"/>
      <c r="N18" s="113"/>
      <c r="O18" s="114" t="str">
        <f>IFERROR(IF(INDEX(Menu!$G$10:$G$19,MATCH(Report!M$7,Menu!$D$10:$D$19,0))=Calc!$D$9,Report!M18/Report!N18*100,Report!N18/Report!M18*100),"")</f>
        <v/>
      </c>
      <c r="P18" s="112"/>
      <c r="Q18" s="113"/>
      <c r="R18" s="114" t="str">
        <f>IFERROR(IF(INDEX(Menu!$G$10:$G$19,MATCH(Report!P$7,Menu!$D$10:$D$19,0))=Calc!$D$9,Report!P18/Report!Q18*100,Report!Q18/Report!P18*100),"")</f>
        <v/>
      </c>
      <c r="S18" s="112"/>
      <c r="T18" s="113"/>
      <c r="U18" s="114" t="str">
        <f>IFERROR(IF(INDEX(Menu!$G$10:$G$19,MATCH(Report!S$7,Menu!$D$10:$D$19,0))=Calc!$D$9,Report!S18/Report!T18*100,Report!T18/Report!S18*100),"")</f>
        <v/>
      </c>
      <c r="V18" s="112"/>
      <c r="W18" s="113"/>
      <c r="X18" s="114" t="str">
        <f>IFERROR(IF(INDEX(Menu!$G$10:$G$19,MATCH(Report!V$7,Menu!$D$10:$D$19,0))=Calc!$D$9,Report!V18/Report!W18*100,Report!W18/Report!V18*100),"")</f>
        <v/>
      </c>
      <c r="Y18" s="112"/>
      <c r="Z18" s="113"/>
      <c r="AA18" s="114" t="str">
        <f>IFERROR(IF(INDEX(Menu!$G$10:$G$19,MATCH(Report!Y$7,Menu!$D$10:$D$19,0))=Calc!$D$9,Report!Y18/Report!Z18*100,Report!Z18/Report!Y18*100),"")</f>
        <v/>
      </c>
      <c r="AB18" s="112"/>
      <c r="AC18" s="113"/>
      <c r="AD18" s="114" t="str">
        <f>IFERROR(IF(INDEX(Menu!$G$10:$G$19,MATCH(Report!AB$7,Menu!$D$10:$D$19,0))=Calc!$D$9,Report!AB18/Report!AC18*100,Report!AC18/Report!AB18*100),"")</f>
        <v/>
      </c>
      <c r="AE18" s="112"/>
      <c r="AF18" s="113"/>
      <c r="AG18" s="114" t="str">
        <f>IFERROR(IF(INDEX(Menu!$G$10:$G$19,MATCH(Report!AE$7,Menu!$D$10:$D$19,0))=Calc!$D$9,Report!AE18/Report!AF18*100,Report!AF18/Report!AE18*100),"")</f>
        <v/>
      </c>
      <c r="AH18" s="78"/>
    </row>
    <row r="19" spans="2:34" s="32" customFormat="1" ht="22.5" customHeight="1" x14ac:dyDescent="0.25">
      <c r="B19" s="124" t="s">
        <v>43</v>
      </c>
      <c r="C19" s="117" t="str">
        <f ca="1">IFERROR(Calc!K18,"")</f>
        <v>29 Dec - 4 Jan</v>
      </c>
      <c r="D19" s="125"/>
      <c r="E19" s="125"/>
      <c r="F19" s="118"/>
      <c r="G19" s="125"/>
      <c r="H19" s="125"/>
      <c r="I19" s="118"/>
      <c r="J19" s="125"/>
      <c r="K19" s="125"/>
      <c r="L19" s="118"/>
      <c r="M19" s="125"/>
      <c r="N19" s="125"/>
      <c r="O19" s="118"/>
      <c r="P19" s="125"/>
      <c r="Q19" s="125"/>
      <c r="R19" s="118"/>
      <c r="S19" s="125"/>
      <c r="T19" s="125"/>
      <c r="U19" s="118"/>
      <c r="V19" s="125"/>
      <c r="W19" s="125"/>
      <c r="X19" s="118"/>
      <c r="Y19" s="125"/>
      <c r="Z19" s="125"/>
      <c r="AA19" s="118"/>
      <c r="AB19" s="125"/>
      <c r="AC19" s="125"/>
      <c r="AD19" s="118"/>
      <c r="AE19" s="125"/>
      <c r="AF19" s="125"/>
      <c r="AG19" s="121"/>
      <c r="AH19" s="78"/>
    </row>
    <row r="20" spans="2:34" s="32" customFormat="1" ht="22.5" customHeight="1" x14ac:dyDescent="0.25">
      <c r="B20" s="126" t="s">
        <v>44</v>
      </c>
      <c r="C20" s="115" t="str">
        <f ca="1">IFERROR(Calc!K19,"")</f>
        <v>5 Jan - 11 Jan</v>
      </c>
      <c r="D20" s="127"/>
      <c r="E20" s="127"/>
      <c r="F20" s="116"/>
      <c r="G20" s="127"/>
      <c r="H20" s="127"/>
      <c r="I20" s="116"/>
      <c r="J20" s="127"/>
      <c r="K20" s="127"/>
      <c r="L20" s="116"/>
      <c r="M20" s="127"/>
      <c r="N20" s="127"/>
      <c r="O20" s="116"/>
      <c r="P20" s="127"/>
      <c r="Q20" s="127"/>
      <c r="R20" s="116"/>
      <c r="S20" s="127"/>
      <c r="T20" s="127"/>
      <c r="U20" s="116"/>
      <c r="V20" s="127"/>
      <c r="W20" s="127"/>
      <c r="X20" s="116"/>
      <c r="Y20" s="127"/>
      <c r="Z20" s="127"/>
      <c r="AA20" s="116"/>
      <c r="AB20" s="127"/>
      <c r="AC20" s="127"/>
      <c r="AD20" s="116"/>
      <c r="AE20" s="127"/>
      <c r="AF20" s="127"/>
      <c r="AG20" s="122"/>
      <c r="AH20" s="78"/>
    </row>
    <row r="21" spans="2:34" s="32" customFormat="1" ht="22.5" customHeight="1" x14ac:dyDescent="0.25">
      <c r="B21" s="126" t="s">
        <v>45</v>
      </c>
      <c r="C21" s="115" t="str">
        <f ca="1">IFERROR(Calc!K20,"")</f>
        <v>12 Jan - 18 Jan</v>
      </c>
      <c r="D21" s="127"/>
      <c r="E21" s="127"/>
      <c r="F21" s="116"/>
      <c r="G21" s="127"/>
      <c r="H21" s="127"/>
      <c r="I21" s="116"/>
      <c r="J21" s="127"/>
      <c r="K21" s="127"/>
      <c r="L21" s="116"/>
      <c r="M21" s="127"/>
      <c r="N21" s="127"/>
      <c r="O21" s="116"/>
      <c r="P21" s="127"/>
      <c r="Q21" s="127"/>
      <c r="R21" s="116"/>
      <c r="S21" s="127"/>
      <c r="T21" s="127"/>
      <c r="U21" s="116"/>
      <c r="V21" s="127"/>
      <c r="W21" s="127"/>
      <c r="X21" s="116"/>
      <c r="Y21" s="127"/>
      <c r="Z21" s="127"/>
      <c r="AA21" s="116"/>
      <c r="AB21" s="127"/>
      <c r="AC21" s="127"/>
      <c r="AD21" s="116"/>
      <c r="AE21" s="127"/>
      <c r="AF21" s="127"/>
      <c r="AG21" s="122"/>
      <c r="AH21" s="78"/>
    </row>
    <row r="22" spans="2:34" s="32" customFormat="1" ht="22.5" customHeight="1" x14ac:dyDescent="0.25">
      <c r="B22" s="126" t="s">
        <v>46</v>
      </c>
      <c r="C22" s="115" t="str">
        <f ca="1">IFERROR(Calc!K21,"")</f>
        <v>19 Jan - 25 Jan</v>
      </c>
      <c r="D22" s="127"/>
      <c r="E22" s="127"/>
      <c r="F22" s="116"/>
      <c r="G22" s="127"/>
      <c r="H22" s="127"/>
      <c r="I22" s="116"/>
      <c r="J22" s="127"/>
      <c r="K22" s="127"/>
      <c r="L22" s="116"/>
      <c r="M22" s="127"/>
      <c r="N22" s="127"/>
      <c r="O22" s="116"/>
      <c r="P22" s="127"/>
      <c r="Q22" s="127"/>
      <c r="R22" s="116"/>
      <c r="S22" s="127"/>
      <c r="T22" s="127"/>
      <c r="U22" s="116"/>
      <c r="V22" s="127"/>
      <c r="W22" s="127"/>
      <c r="X22" s="116"/>
      <c r="Y22" s="127"/>
      <c r="Z22" s="127"/>
      <c r="AA22" s="116"/>
      <c r="AB22" s="127"/>
      <c r="AC22" s="127"/>
      <c r="AD22" s="116"/>
      <c r="AE22" s="127"/>
      <c r="AF22" s="127"/>
      <c r="AG22" s="122"/>
      <c r="AH22" s="78"/>
    </row>
    <row r="23" spans="2:34" s="32" customFormat="1" ht="22.5" customHeight="1" x14ac:dyDescent="0.25">
      <c r="B23" s="126" t="s">
        <v>47</v>
      </c>
      <c r="C23" s="115" t="str">
        <f ca="1">IFERROR(Calc!K22,"")</f>
        <v>26 Jan - 1 Feb</v>
      </c>
      <c r="D23" s="127"/>
      <c r="E23" s="127"/>
      <c r="F23" s="116"/>
      <c r="G23" s="127"/>
      <c r="H23" s="127"/>
      <c r="I23" s="116"/>
      <c r="J23" s="127"/>
      <c r="K23" s="127"/>
      <c r="L23" s="116"/>
      <c r="M23" s="127"/>
      <c r="N23" s="127"/>
      <c r="O23" s="116"/>
      <c r="P23" s="127"/>
      <c r="Q23" s="127"/>
      <c r="R23" s="116"/>
      <c r="S23" s="127"/>
      <c r="T23" s="127"/>
      <c r="U23" s="116"/>
      <c r="V23" s="127"/>
      <c r="W23" s="127"/>
      <c r="X23" s="116"/>
      <c r="Y23" s="127"/>
      <c r="Z23" s="127"/>
      <c r="AA23" s="116"/>
      <c r="AB23" s="127"/>
      <c r="AC23" s="127"/>
      <c r="AD23" s="116"/>
      <c r="AE23" s="127"/>
      <c r="AF23" s="127"/>
      <c r="AG23" s="122"/>
      <c r="AH23" s="78"/>
    </row>
    <row r="24" spans="2:34" s="32" customFormat="1" ht="22.5" customHeight="1" x14ac:dyDescent="0.25">
      <c r="B24" s="126" t="s">
        <v>48</v>
      </c>
      <c r="C24" s="115" t="str">
        <f ca="1">IFERROR(Calc!K23,"")</f>
        <v>2 Feb - 8 Feb</v>
      </c>
      <c r="D24" s="127"/>
      <c r="E24" s="127"/>
      <c r="F24" s="116"/>
      <c r="G24" s="127"/>
      <c r="H24" s="127"/>
      <c r="I24" s="116"/>
      <c r="J24" s="127"/>
      <c r="K24" s="127"/>
      <c r="L24" s="116"/>
      <c r="M24" s="127"/>
      <c r="N24" s="127"/>
      <c r="O24" s="116"/>
      <c r="P24" s="127"/>
      <c r="Q24" s="127"/>
      <c r="R24" s="116"/>
      <c r="S24" s="127"/>
      <c r="T24" s="127"/>
      <c r="U24" s="116"/>
      <c r="V24" s="127"/>
      <c r="W24" s="127"/>
      <c r="X24" s="116"/>
      <c r="Y24" s="127"/>
      <c r="Z24" s="127"/>
      <c r="AA24" s="116"/>
      <c r="AB24" s="127"/>
      <c r="AC24" s="127"/>
      <c r="AD24" s="116"/>
      <c r="AE24" s="127"/>
      <c r="AF24" s="127"/>
      <c r="AG24" s="122"/>
      <c r="AH24" s="78"/>
    </row>
    <row r="25" spans="2:34" s="32" customFormat="1" ht="22.5" customHeight="1" x14ac:dyDescent="0.25">
      <c r="B25" s="126" t="s">
        <v>49</v>
      </c>
      <c r="C25" s="115" t="str">
        <f ca="1">IFERROR(Calc!K24,"")</f>
        <v>9 Feb - 15 Feb</v>
      </c>
      <c r="D25" s="127"/>
      <c r="E25" s="127"/>
      <c r="F25" s="116"/>
      <c r="G25" s="127"/>
      <c r="H25" s="127"/>
      <c r="I25" s="116"/>
      <c r="J25" s="127"/>
      <c r="K25" s="127"/>
      <c r="L25" s="116"/>
      <c r="M25" s="127"/>
      <c r="N25" s="127"/>
      <c r="O25" s="116"/>
      <c r="P25" s="127"/>
      <c r="Q25" s="127"/>
      <c r="R25" s="116"/>
      <c r="S25" s="127"/>
      <c r="T25" s="127"/>
      <c r="U25" s="116"/>
      <c r="V25" s="127"/>
      <c r="W25" s="127"/>
      <c r="X25" s="116"/>
      <c r="Y25" s="127"/>
      <c r="Z25" s="127"/>
      <c r="AA25" s="116"/>
      <c r="AB25" s="127"/>
      <c r="AC25" s="127"/>
      <c r="AD25" s="116"/>
      <c r="AE25" s="127"/>
      <c r="AF25" s="127"/>
      <c r="AG25" s="122"/>
      <c r="AH25" s="78"/>
    </row>
    <row r="26" spans="2:34" s="32" customFormat="1" ht="22.5" customHeight="1" x14ac:dyDescent="0.25">
      <c r="B26" s="126" t="s">
        <v>50</v>
      </c>
      <c r="C26" s="115" t="str">
        <f ca="1">IFERROR(Calc!K25,"")</f>
        <v>16 Feb - 22 Feb</v>
      </c>
      <c r="D26" s="127"/>
      <c r="E26" s="127"/>
      <c r="F26" s="116"/>
      <c r="G26" s="127"/>
      <c r="H26" s="127"/>
      <c r="I26" s="116"/>
      <c r="J26" s="127"/>
      <c r="K26" s="127"/>
      <c r="L26" s="116"/>
      <c r="M26" s="127"/>
      <c r="N26" s="127"/>
      <c r="O26" s="116"/>
      <c r="P26" s="127"/>
      <c r="Q26" s="127"/>
      <c r="R26" s="116"/>
      <c r="S26" s="127"/>
      <c r="T26" s="127"/>
      <c r="U26" s="116"/>
      <c r="V26" s="127"/>
      <c r="W26" s="127"/>
      <c r="X26" s="116"/>
      <c r="Y26" s="127"/>
      <c r="Z26" s="127"/>
      <c r="AA26" s="116"/>
      <c r="AB26" s="127"/>
      <c r="AC26" s="127"/>
      <c r="AD26" s="116"/>
      <c r="AE26" s="127"/>
      <c r="AF26" s="127"/>
      <c r="AG26" s="122"/>
      <c r="AH26" s="78"/>
    </row>
    <row r="27" spans="2:34" s="32" customFormat="1" ht="22.5" customHeight="1" x14ac:dyDescent="0.25">
      <c r="B27" s="126" t="s">
        <v>51</v>
      </c>
      <c r="C27" s="115" t="str">
        <f ca="1">IFERROR(Calc!K26,"")</f>
        <v>23 Feb - 1 Mar</v>
      </c>
      <c r="D27" s="127"/>
      <c r="E27" s="127"/>
      <c r="F27" s="116"/>
      <c r="G27" s="127"/>
      <c r="H27" s="127"/>
      <c r="I27" s="116"/>
      <c r="J27" s="127"/>
      <c r="K27" s="127"/>
      <c r="L27" s="116"/>
      <c r="M27" s="127"/>
      <c r="N27" s="127"/>
      <c r="O27" s="116"/>
      <c r="P27" s="127"/>
      <c r="Q27" s="127"/>
      <c r="R27" s="116"/>
      <c r="S27" s="127"/>
      <c r="T27" s="127"/>
      <c r="U27" s="116"/>
      <c r="V27" s="127"/>
      <c r="W27" s="127"/>
      <c r="X27" s="116"/>
      <c r="Y27" s="127"/>
      <c r="Z27" s="127"/>
      <c r="AA27" s="116"/>
      <c r="AB27" s="127"/>
      <c r="AC27" s="127"/>
      <c r="AD27" s="116"/>
      <c r="AE27" s="127"/>
      <c r="AF27" s="127"/>
      <c r="AG27" s="122"/>
      <c r="AH27" s="78"/>
    </row>
    <row r="28" spans="2:34" s="32" customFormat="1" ht="22.5" customHeight="1" x14ac:dyDescent="0.25">
      <c r="B28" s="126" t="s">
        <v>52</v>
      </c>
      <c r="C28" s="115" t="str">
        <f ca="1">IFERROR(Calc!K27,"")</f>
        <v>2 Mar - 8 Mar</v>
      </c>
      <c r="D28" s="127"/>
      <c r="E28" s="127"/>
      <c r="F28" s="116"/>
      <c r="G28" s="127"/>
      <c r="H28" s="127"/>
      <c r="I28" s="116"/>
      <c r="J28" s="127"/>
      <c r="K28" s="127"/>
      <c r="L28" s="116"/>
      <c r="M28" s="127"/>
      <c r="N28" s="127"/>
      <c r="O28" s="116"/>
      <c r="P28" s="127"/>
      <c r="Q28" s="127"/>
      <c r="R28" s="116"/>
      <c r="S28" s="127"/>
      <c r="T28" s="127"/>
      <c r="U28" s="116"/>
      <c r="V28" s="127"/>
      <c r="W28" s="127"/>
      <c r="X28" s="116"/>
      <c r="Y28" s="127"/>
      <c r="Z28" s="127"/>
      <c r="AA28" s="116"/>
      <c r="AB28" s="127"/>
      <c r="AC28" s="127"/>
      <c r="AD28" s="116"/>
      <c r="AE28" s="127"/>
      <c r="AF28" s="127"/>
      <c r="AG28" s="122"/>
      <c r="AH28" s="78"/>
    </row>
    <row r="29" spans="2:34" s="32" customFormat="1" ht="22.5" customHeight="1" x14ac:dyDescent="0.25">
      <c r="B29" s="126" t="s">
        <v>53</v>
      </c>
      <c r="C29" s="115" t="str">
        <f ca="1">IFERROR(Calc!K28,"")</f>
        <v>9 Mar - 15 Mar</v>
      </c>
      <c r="D29" s="127"/>
      <c r="E29" s="127"/>
      <c r="F29" s="116"/>
      <c r="G29" s="127"/>
      <c r="H29" s="127"/>
      <c r="I29" s="116"/>
      <c r="J29" s="127"/>
      <c r="K29" s="127"/>
      <c r="L29" s="116"/>
      <c r="M29" s="127"/>
      <c r="N29" s="127"/>
      <c r="O29" s="116"/>
      <c r="P29" s="127"/>
      <c r="Q29" s="127"/>
      <c r="R29" s="116"/>
      <c r="S29" s="127"/>
      <c r="T29" s="127"/>
      <c r="U29" s="116"/>
      <c r="V29" s="127"/>
      <c r="W29" s="127"/>
      <c r="X29" s="116"/>
      <c r="Y29" s="127"/>
      <c r="Z29" s="127"/>
      <c r="AA29" s="116"/>
      <c r="AB29" s="127"/>
      <c r="AC29" s="127"/>
      <c r="AD29" s="116"/>
      <c r="AE29" s="127"/>
      <c r="AF29" s="127"/>
      <c r="AG29" s="122"/>
      <c r="AH29" s="78"/>
    </row>
    <row r="30" spans="2:34" s="32" customFormat="1" ht="22.5" customHeight="1" x14ac:dyDescent="0.25">
      <c r="B30" s="126" t="s">
        <v>54</v>
      </c>
      <c r="C30" s="115" t="str">
        <f ca="1">IFERROR(Calc!K29,"")</f>
        <v>16 Mar - 22 Mar</v>
      </c>
      <c r="D30" s="127"/>
      <c r="E30" s="127"/>
      <c r="F30" s="116"/>
      <c r="G30" s="127"/>
      <c r="H30" s="127"/>
      <c r="I30" s="116"/>
      <c r="J30" s="127"/>
      <c r="K30" s="127"/>
      <c r="L30" s="116"/>
      <c r="M30" s="127"/>
      <c r="N30" s="127"/>
      <c r="O30" s="116"/>
      <c r="P30" s="127"/>
      <c r="Q30" s="127"/>
      <c r="R30" s="116"/>
      <c r="S30" s="127"/>
      <c r="T30" s="127"/>
      <c r="U30" s="116"/>
      <c r="V30" s="127"/>
      <c r="W30" s="127"/>
      <c r="X30" s="116"/>
      <c r="Y30" s="127"/>
      <c r="Z30" s="127"/>
      <c r="AA30" s="116"/>
      <c r="AB30" s="127"/>
      <c r="AC30" s="127"/>
      <c r="AD30" s="116"/>
      <c r="AE30" s="127"/>
      <c r="AF30" s="127"/>
      <c r="AG30" s="122"/>
      <c r="AH30" s="78"/>
    </row>
    <row r="31" spans="2:34" s="32" customFormat="1" ht="22.5" customHeight="1" x14ac:dyDescent="0.25">
      <c r="B31" s="126" t="s">
        <v>55</v>
      </c>
      <c r="C31" s="115" t="str">
        <f ca="1">IFERROR(Calc!K30,"")</f>
        <v>23 Mar - 29 Mar</v>
      </c>
      <c r="D31" s="127"/>
      <c r="E31" s="127"/>
      <c r="F31" s="116"/>
      <c r="G31" s="127"/>
      <c r="H31" s="127"/>
      <c r="I31" s="116"/>
      <c r="J31" s="127"/>
      <c r="K31" s="127"/>
      <c r="L31" s="116"/>
      <c r="M31" s="127"/>
      <c r="N31" s="127"/>
      <c r="O31" s="116"/>
      <c r="P31" s="127"/>
      <c r="Q31" s="127"/>
      <c r="R31" s="116"/>
      <c r="S31" s="127"/>
      <c r="T31" s="127"/>
      <c r="U31" s="116"/>
      <c r="V31" s="127"/>
      <c r="W31" s="127"/>
      <c r="X31" s="116"/>
      <c r="Y31" s="127"/>
      <c r="Z31" s="127"/>
      <c r="AA31" s="116"/>
      <c r="AB31" s="127"/>
      <c r="AC31" s="127"/>
      <c r="AD31" s="116"/>
      <c r="AE31" s="127"/>
      <c r="AF31" s="127"/>
      <c r="AG31" s="122"/>
      <c r="AH31" s="78"/>
    </row>
    <row r="32" spans="2:34" s="32" customFormat="1" ht="22.5" customHeight="1" x14ac:dyDescent="0.25">
      <c r="B32" s="126" t="s">
        <v>56</v>
      </c>
      <c r="C32" s="115" t="str">
        <f ca="1">IFERROR(Calc!K31,"")</f>
        <v>30 Mar - 5 Apr</v>
      </c>
      <c r="D32" s="127"/>
      <c r="E32" s="127"/>
      <c r="F32" s="116"/>
      <c r="G32" s="127"/>
      <c r="H32" s="127"/>
      <c r="I32" s="116"/>
      <c r="J32" s="127"/>
      <c r="K32" s="127"/>
      <c r="L32" s="116"/>
      <c r="M32" s="127"/>
      <c r="N32" s="127"/>
      <c r="O32" s="116"/>
      <c r="P32" s="127"/>
      <c r="Q32" s="127"/>
      <c r="R32" s="116"/>
      <c r="S32" s="127"/>
      <c r="T32" s="127"/>
      <c r="U32" s="116"/>
      <c r="V32" s="127"/>
      <c r="W32" s="127"/>
      <c r="X32" s="116"/>
      <c r="Y32" s="127"/>
      <c r="Z32" s="127"/>
      <c r="AA32" s="116"/>
      <c r="AB32" s="127"/>
      <c r="AC32" s="127"/>
      <c r="AD32" s="116"/>
      <c r="AE32" s="127"/>
      <c r="AF32" s="127"/>
      <c r="AG32" s="122"/>
      <c r="AH32" s="78"/>
    </row>
    <row r="33" spans="2:34" s="32" customFormat="1" ht="22.5" customHeight="1" x14ac:dyDescent="0.25">
      <c r="B33" s="126" t="s">
        <v>57</v>
      </c>
      <c r="C33" s="115" t="str">
        <f ca="1">IFERROR(Calc!K32,"")</f>
        <v>6 Apr - 12 Apr</v>
      </c>
      <c r="D33" s="127"/>
      <c r="E33" s="127"/>
      <c r="F33" s="116"/>
      <c r="G33" s="127"/>
      <c r="H33" s="127"/>
      <c r="I33" s="116"/>
      <c r="J33" s="127"/>
      <c r="K33" s="127"/>
      <c r="L33" s="116"/>
      <c r="M33" s="127"/>
      <c r="N33" s="127"/>
      <c r="O33" s="116"/>
      <c r="P33" s="127"/>
      <c r="Q33" s="127"/>
      <c r="R33" s="116"/>
      <c r="S33" s="127"/>
      <c r="T33" s="127"/>
      <c r="U33" s="116"/>
      <c r="V33" s="127"/>
      <c r="W33" s="127"/>
      <c r="X33" s="116"/>
      <c r="Y33" s="127"/>
      <c r="Z33" s="127"/>
      <c r="AA33" s="116"/>
      <c r="AB33" s="127"/>
      <c r="AC33" s="127"/>
      <c r="AD33" s="116"/>
      <c r="AE33" s="127"/>
      <c r="AF33" s="127"/>
      <c r="AG33" s="122"/>
      <c r="AH33" s="78"/>
    </row>
    <row r="34" spans="2:34" s="32" customFormat="1" ht="22.5" customHeight="1" x14ac:dyDescent="0.25">
      <c r="B34" s="126" t="s">
        <v>58</v>
      </c>
      <c r="C34" s="115" t="str">
        <f ca="1">IFERROR(Calc!K33,"")</f>
        <v>13 Apr - 19 Apr</v>
      </c>
      <c r="D34" s="127"/>
      <c r="E34" s="127"/>
      <c r="F34" s="116"/>
      <c r="G34" s="127"/>
      <c r="H34" s="127"/>
      <c r="I34" s="116"/>
      <c r="J34" s="127"/>
      <c r="K34" s="127"/>
      <c r="L34" s="116"/>
      <c r="M34" s="127"/>
      <c r="N34" s="127"/>
      <c r="O34" s="116"/>
      <c r="P34" s="127"/>
      <c r="Q34" s="127"/>
      <c r="R34" s="116"/>
      <c r="S34" s="127"/>
      <c r="T34" s="127"/>
      <c r="U34" s="116"/>
      <c r="V34" s="127"/>
      <c r="W34" s="127"/>
      <c r="X34" s="116"/>
      <c r="Y34" s="127"/>
      <c r="Z34" s="127"/>
      <c r="AA34" s="116"/>
      <c r="AB34" s="127"/>
      <c r="AC34" s="127"/>
      <c r="AD34" s="116"/>
      <c r="AE34" s="127"/>
      <c r="AF34" s="127"/>
      <c r="AG34" s="122"/>
      <c r="AH34" s="78"/>
    </row>
    <row r="35" spans="2:34" s="32" customFormat="1" ht="22.5" customHeight="1" x14ac:dyDescent="0.25">
      <c r="B35" s="126" t="s">
        <v>59</v>
      </c>
      <c r="C35" s="115" t="str">
        <f ca="1">IFERROR(Calc!K34,"")</f>
        <v>20 Apr - 26 Apr</v>
      </c>
      <c r="D35" s="127"/>
      <c r="E35" s="127"/>
      <c r="F35" s="116"/>
      <c r="G35" s="127"/>
      <c r="H35" s="127"/>
      <c r="I35" s="116"/>
      <c r="J35" s="127"/>
      <c r="K35" s="127"/>
      <c r="L35" s="116"/>
      <c r="M35" s="127"/>
      <c r="N35" s="127"/>
      <c r="O35" s="116"/>
      <c r="P35" s="127"/>
      <c r="Q35" s="127"/>
      <c r="R35" s="116"/>
      <c r="S35" s="127"/>
      <c r="T35" s="127"/>
      <c r="U35" s="116"/>
      <c r="V35" s="127"/>
      <c r="W35" s="127"/>
      <c r="X35" s="116"/>
      <c r="Y35" s="127"/>
      <c r="Z35" s="127"/>
      <c r="AA35" s="116"/>
      <c r="AB35" s="127"/>
      <c r="AC35" s="127"/>
      <c r="AD35" s="116"/>
      <c r="AE35" s="127"/>
      <c r="AF35" s="127"/>
      <c r="AG35" s="122"/>
      <c r="AH35" s="78"/>
    </row>
    <row r="36" spans="2:34" s="32" customFormat="1" ht="22.5" customHeight="1" x14ac:dyDescent="0.25">
      <c r="B36" s="126" t="s">
        <v>60</v>
      </c>
      <c r="C36" s="115" t="str">
        <f ca="1">IFERROR(Calc!K35,"")</f>
        <v>27 Apr - 3 May</v>
      </c>
      <c r="D36" s="127"/>
      <c r="E36" s="127"/>
      <c r="F36" s="116"/>
      <c r="G36" s="127"/>
      <c r="H36" s="127"/>
      <c r="I36" s="116"/>
      <c r="J36" s="127"/>
      <c r="K36" s="127"/>
      <c r="L36" s="116"/>
      <c r="M36" s="127"/>
      <c r="N36" s="127"/>
      <c r="O36" s="116"/>
      <c r="P36" s="127"/>
      <c r="Q36" s="127"/>
      <c r="R36" s="116"/>
      <c r="S36" s="127"/>
      <c r="T36" s="127"/>
      <c r="U36" s="116"/>
      <c r="V36" s="127"/>
      <c r="W36" s="127"/>
      <c r="X36" s="116"/>
      <c r="Y36" s="127"/>
      <c r="Z36" s="127"/>
      <c r="AA36" s="116"/>
      <c r="AB36" s="127"/>
      <c r="AC36" s="127"/>
      <c r="AD36" s="116"/>
      <c r="AE36" s="127"/>
      <c r="AF36" s="127"/>
      <c r="AG36" s="122"/>
      <c r="AH36" s="78"/>
    </row>
    <row r="37" spans="2:34" s="32" customFormat="1" ht="22.5" customHeight="1" x14ac:dyDescent="0.25">
      <c r="B37" s="126" t="s">
        <v>61</v>
      </c>
      <c r="C37" s="115" t="str">
        <f ca="1">IFERROR(Calc!K36,"")</f>
        <v>4 May - 10 May</v>
      </c>
      <c r="D37" s="127"/>
      <c r="E37" s="127"/>
      <c r="F37" s="116"/>
      <c r="G37" s="127"/>
      <c r="H37" s="127"/>
      <c r="I37" s="116"/>
      <c r="J37" s="127"/>
      <c r="K37" s="127"/>
      <c r="L37" s="116"/>
      <c r="M37" s="127"/>
      <c r="N37" s="127"/>
      <c r="O37" s="116"/>
      <c r="P37" s="127"/>
      <c r="Q37" s="127"/>
      <c r="R37" s="116"/>
      <c r="S37" s="127"/>
      <c r="T37" s="127"/>
      <c r="U37" s="116"/>
      <c r="V37" s="127"/>
      <c r="W37" s="127"/>
      <c r="X37" s="116"/>
      <c r="Y37" s="127"/>
      <c r="Z37" s="127"/>
      <c r="AA37" s="116"/>
      <c r="AB37" s="127"/>
      <c r="AC37" s="127"/>
      <c r="AD37" s="116"/>
      <c r="AE37" s="127"/>
      <c r="AF37" s="127"/>
      <c r="AG37" s="122"/>
      <c r="AH37" s="78"/>
    </row>
    <row r="38" spans="2:34" s="32" customFormat="1" ht="22.5" customHeight="1" x14ac:dyDescent="0.25">
      <c r="B38" s="126" t="s">
        <v>62</v>
      </c>
      <c r="C38" s="115" t="str">
        <f ca="1">IFERROR(Calc!K37,"")</f>
        <v>11 May - 17 May</v>
      </c>
      <c r="D38" s="127"/>
      <c r="E38" s="127"/>
      <c r="F38" s="116"/>
      <c r="G38" s="127"/>
      <c r="H38" s="127"/>
      <c r="I38" s="116"/>
      <c r="J38" s="127"/>
      <c r="K38" s="127"/>
      <c r="L38" s="116"/>
      <c r="M38" s="127"/>
      <c r="N38" s="127"/>
      <c r="O38" s="116"/>
      <c r="P38" s="127"/>
      <c r="Q38" s="127"/>
      <c r="R38" s="116"/>
      <c r="S38" s="127"/>
      <c r="T38" s="127"/>
      <c r="U38" s="116"/>
      <c r="V38" s="127"/>
      <c r="W38" s="127"/>
      <c r="X38" s="116"/>
      <c r="Y38" s="127"/>
      <c r="Z38" s="127"/>
      <c r="AA38" s="116"/>
      <c r="AB38" s="127"/>
      <c r="AC38" s="127"/>
      <c r="AD38" s="116"/>
      <c r="AE38" s="127"/>
      <c r="AF38" s="127"/>
      <c r="AG38" s="122"/>
      <c r="AH38" s="78"/>
    </row>
    <row r="39" spans="2:34" s="32" customFormat="1" ht="22.5" customHeight="1" x14ac:dyDescent="0.25">
      <c r="B39" s="126" t="s">
        <v>63</v>
      </c>
      <c r="C39" s="115" t="str">
        <f ca="1">IFERROR(Calc!K38,"")</f>
        <v>18 May - 24 May</v>
      </c>
      <c r="D39" s="127"/>
      <c r="E39" s="127"/>
      <c r="F39" s="116"/>
      <c r="G39" s="127"/>
      <c r="H39" s="127"/>
      <c r="I39" s="116"/>
      <c r="J39" s="127"/>
      <c r="K39" s="127"/>
      <c r="L39" s="116"/>
      <c r="M39" s="127"/>
      <c r="N39" s="127"/>
      <c r="O39" s="116"/>
      <c r="P39" s="127"/>
      <c r="Q39" s="127"/>
      <c r="R39" s="116"/>
      <c r="S39" s="127"/>
      <c r="T39" s="127"/>
      <c r="U39" s="116"/>
      <c r="V39" s="127"/>
      <c r="W39" s="127"/>
      <c r="X39" s="116"/>
      <c r="Y39" s="127"/>
      <c r="Z39" s="127"/>
      <c r="AA39" s="116"/>
      <c r="AB39" s="127"/>
      <c r="AC39" s="127"/>
      <c r="AD39" s="116"/>
      <c r="AE39" s="127"/>
      <c r="AF39" s="127"/>
      <c r="AG39" s="122"/>
      <c r="AH39" s="78"/>
    </row>
    <row r="40" spans="2:34" s="32" customFormat="1" ht="22.5" customHeight="1" x14ac:dyDescent="0.25">
      <c r="B40" s="126" t="s">
        <v>64</v>
      </c>
      <c r="C40" s="115" t="str">
        <f ca="1">IFERROR(Calc!K39,"")</f>
        <v>25 May - 31 May</v>
      </c>
      <c r="D40" s="127"/>
      <c r="E40" s="127"/>
      <c r="F40" s="116"/>
      <c r="G40" s="127"/>
      <c r="H40" s="127"/>
      <c r="I40" s="116"/>
      <c r="J40" s="127"/>
      <c r="K40" s="127"/>
      <c r="L40" s="116"/>
      <c r="M40" s="127"/>
      <c r="N40" s="127"/>
      <c r="O40" s="116"/>
      <c r="P40" s="127"/>
      <c r="Q40" s="127"/>
      <c r="R40" s="116"/>
      <c r="S40" s="127"/>
      <c r="T40" s="127"/>
      <c r="U40" s="116"/>
      <c r="V40" s="127"/>
      <c r="W40" s="127"/>
      <c r="X40" s="116"/>
      <c r="Y40" s="127"/>
      <c r="Z40" s="127"/>
      <c r="AA40" s="116"/>
      <c r="AB40" s="127"/>
      <c r="AC40" s="127"/>
      <c r="AD40" s="116"/>
      <c r="AE40" s="127"/>
      <c r="AF40" s="127"/>
      <c r="AG40" s="122"/>
      <c r="AH40" s="78"/>
    </row>
    <row r="41" spans="2:34" s="32" customFormat="1" ht="22.5" customHeight="1" x14ac:dyDescent="0.25">
      <c r="B41" s="126" t="s">
        <v>65</v>
      </c>
      <c r="C41" s="115" t="str">
        <f ca="1">IFERROR(Calc!K40,"")</f>
        <v>1 Jun - 7 Jun</v>
      </c>
      <c r="D41" s="127"/>
      <c r="E41" s="127"/>
      <c r="F41" s="116"/>
      <c r="G41" s="127"/>
      <c r="H41" s="127"/>
      <c r="I41" s="116"/>
      <c r="J41" s="127"/>
      <c r="K41" s="127"/>
      <c r="L41" s="116"/>
      <c r="M41" s="127"/>
      <c r="N41" s="127"/>
      <c r="O41" s="116"/>
      <c r="P41" s="127"/>
      <c r="Q41" s="127"/>
      <c r="R41" s="116"/>
      <c r="S41" s="127"/>
      <c r="T41" s="127"/>
      <c r="U41" s="116"/>
      <c r="V41" s="127"/>
      <c r="W41" s="127"/>
      <c r="X41" s="116"/>
      <c r="Y41" s="127"/>
      <c r="Z41" s="127"/>
      <c r="AA41" s="116"/>
      <c r="AB41" s="127"/>
      <c r="AC41" s="127"/>
      <c r="AD41" s="116"/>
      <c r="AE41" s="127"/>
      <c r="AF41" s="127"/>
      <c r="AG41" s="122"/>
      <c r="AH41" s="78"/>
    </row>
    <row r="42" spans="2:34" s="32" customFormat="1" ht="22.5" customHeight="1" x14ac:dyDescent="0.25">
      <c r="B42" s="126" t="s">
        <v>66</v>
      </c>
      <c r="C42" s="115" t="str">
        <f ca="1">IFERROR(Calc!K41,"")</f>
        <v>8 Jun - 14 Jun</v>
      </c>
      <c r="D42" s="127"/>
      <c r="E42" s="127"/>
      <c r="F42" s="116"/>
      <c r="G42" s="127"/>
      <c r="H42" s="127"/>
      <c r="I42" s="116"/>
      <c r="J42" s="127"/>
      <c r="K42" s="127"/>
      <c r="L42" s="116"/>
      <c r="M42" s="127"/>
      <c r="N42" s="127"/>
      <c r="O42" s="116"/>
      <c r="P42" s="127"/>
      <c r="Q42" s="127"/>
      <c r="R42" s="116"/>
      <c r="S42" s="127"/>
      <c r="T42" s="127"/>
      <c r="U42" s="116"/>
      <c r="V42" s="127"/>
      <c r="W42" s="127"/>
      <c r="X42" s="116"/>
      <c r="Y42" s="127"/>
      <c r="Z42" s="127"/>
      <c r="AA42" s="116"/>
      <c r="AB42" s="127"/>
      <c r="AC42" s="127"/>
      <c r="AD42" s="116"/>
      <c r="AE42" s="127"/>
      <c r="AF42" s="127"/>
      <c r="AG42" s="122"/>
      <c r="AH42" s="78"/>
    </row>
    <row r="43" spans="2:34" s="32" customFormat="1" ht="22.5" customHeight="1" x14ac:dyDescent="0.25">
      <c r="B43" s="126" t="s">
        <v>67</v>
      </c>
      <c r="C43" s="115" t="str">
        <f ca="1">IFERROR(Calc!K42,"")</f>
        <v>15 Jun - 21 Jun</v>
      </c>
      <c r="D43" s="127"/>
      <c r="E43" s="127"/>
      <c r="F43" s="116"/>
      <c r="G43" s="127"/>
      <c r="H43" s="127"/>
      <c r="I43" s="116"/>
      <c r="J43" s="127"/>
      <c r="K43" s="127"/>
      <c r="L43" s="116"/>
      <c r="M43" s="127"/>
      <c r="N43" s="127"/>
      <c r="O43" s="116"/>
      <c r="P43" s="127"/>
      <c r="Q43" s="127"/>
      <c r="R43" s="116"/>
      <c r="S43" s="127"/>
      <c r="T43" s="127"/>
      <c r="U43" s="116"/>
      <c r="V43" s="127"/>
      <c r="W43" s="127"/>
      <c r="X43" s="116"/>
      <c r="Y43" s="127"/>
      <c r="Z43" s="127"/>
      <c r="AA43" s="116"/>
      <c r="AB43" s="127"/>
      <c r="AC43" s="127"/>
      <c r="AD43" s="116"/>
      <c r="AE43" s="127"/>
      <c r="AF43" s="127"/>
      <c r="AG43" s="122"/>
      <c r="AH43" s="78"/>
    </row>
    <row r="44" spans="2:34" s="32" customFormat="1" ht="22.5" customHeight="1" x14ac:dyDescent="0.25">
      <c r="B44" s="126" t="s">
        <v>68</v>
      </c>
      <c r="C44" s="115" t="str">
        <f ca="1">IFERROR(Calc!K43,"")</f>
        <v>22 Jun - 28 Jun</v>
      </c>
      <c r="D44" s="127"/>
      <c r="E44" s="127"/>
      <c r="F44" s="116"/>
      <c r="G44" s="127"/>
      <c r="H44" s="127"/>
      <c r="I44" s="116"/>
      <c r="J44" s="127"/>
      <c r="K44" s="127"/>
      <c r="L44" s="116"/>
      <c r="M44" s="127"/>
      <c r="N44" s="127"/>
      <c r="O44" s="116"/>
      <c r="P44" s="127"/>
      <c r="Q44" s="127"/>
      <c r="R44" s="116"/>
      <c r="S44" s="127"/>
      <c r="T44" s="127"/>
      <c r="U44" s="116"/>
      <c r="V44" s="127"/>
      <c r="W44" s="127"/>
      <c r="X44" s="116"/>
      <c r="Y44" s="127"/>
      <c r="Z44" s="127"/>
      <c r="AA44" s="116"/>
      <c r="AB44" s="127"/>
      <c r="AC44" s="127"/>
      <c r="AD44" s="116"/>
      <c r="AE44" s="127"/>
      <c r="AF44" s="127"/>
      <c r="AG44" s="122"/>
      <c r="AH44" s="78"/>
    </row>
    <row r="45" spans="2:34" s="32" customFormat="1" ht="22.5" customHeight="1" x14ac:dyDescent="0.25">
      <c r="B45" s="126" t="s">
        <v>69</v>
      </c>
      <c r="C45" s="115" t="str">
        <f ca="1">IFERROR(Calc!K44,"")</f>
        <v>29 Jun - 5 Jul</v>
      </c>
      <c r="D45" s="127"/>
      <c r="E45" s="127"/>
      <c r="F45" s="116"/>
      <c r="G45" s="127"/>
      <c r="H45" s="127"/>
      <c r="I45" s="116"/>
      <c r="J45" s="127"/>
      <c r="K45" s="127"/>
      <c r="L45" s="116"/>
      <c r="M45" s="127"/>
      <c r="N45" s="127"/>
      <c r="O45" s="116"/>
      <c r="P45" s="127"/>
      <c r="Q45" s="127"/>
      <c r="R45" s="116"/>
      <c r="S45" s="127"/>
      <c r="T45" s="127"/>
      <c r="U45" s="116"/>
      <c r="V45" s="127"/>
      <c r="W45" s="127"/>
      <c r="X45" s="116"/>
      <c r="Y45" s="127"/>
      <c r="Z45" s="127"/>
      <c r="AA45" s="116"/>
      <c r="AB45" s="127"/>
      <c r="AC45" s="127"/>
      <c r="AD45" s="116"/>
      <c r="AE45" s="127"/>
      <c r="AF45" s="127"/>
      <c r="AG45" s="122"/>
      <c r="AH45" s="78"/>
    </row>
    <row r="46" spans="2:34" s="32" customFormat="1" ht="22.5" customHeight="1" x14ac:dyDescent="0.25">
      <c r="B46" s="126" t="s">
        <v>70</v>
      </c>
      <c r="C46" s="115" t="str">
        <f ca="1">IFERROR(Calc!K45,"")</f>
        <v>6 Jul - 12 Jul</v>
      </c>
      <c r="D46" s="127"/>
      <c r="E46" s="127"/>
      <c r="F46" s="116"/>
      <c r="G46" s="127"/>
      <c r="H46" s="127"/>
      <c r="I46" s="116"/>
      <c r="J46" s="127"/>
      <c r="K46" s="127"/>
      <c r="L46" s="116"/>
      <c r="M46" s="127"/>
      <c r="N46" s="127"/>
      <c r="O46" s="116"/>
      <c r="P46" s="127"/>
      <c r="Q46" s="127"/>
      <c r="R46" s="116"/>
      <c r="S46" s="127"/>
      <c r="T46" s="127"/>
      <c r="U46" s="116"/>
      <c r="V46" s="127"/>
      <c r="W46" s="127"/>
      <c r="X46" s="116"/>
      <c r="Y46" s="127"/>
      <c r="Z46" s="127"/>
      <c r="AA46" s="116"/>
      <c r="AB46" s="127"/>
      <c r="AC46" s="127"/>
      <c r="AD46" s="116"/>
      <c r="AE46" s="127"/>
      <c r="AF46" s="127"/>
      <c r="AG46" s="122"/>
      <c r="AH46" s="78"/>
    </row>
    <row r="47" spans="2:34" s="32" customFormat="1" ht="22.5" customHeight="1" x14ac:dyDescent="0.25">
      <c r="B47" s="126" t="s">
        <v>71</v>
      </c>
      <c r="C47" s="115" t="str">
        <f ca="1">IFERROR(Calc!K46,"")</f>
        <v>13 Jul - 19 Jul</v>
      </c>
      <c r="D47" s="127"/>
      <c r="E47" s="127"/>
      <c r="F47" s="116"/>
      <c r="G47" s="127"/>
      <c r="H47" s="127"/>
      <c r="I47" s="116"/>
      <c r="J47" s="127"/>
      <c r="K47" s="127"/>
      <c r="L47" s="116"/>
      <c r="M47" s="127"/>
      <c r="N47" s="127"/>
      <c r="O47" s="116"/>
      <c r="P47" s="127"/>
      <c r="Q47" s="127"/>
      <c r="R47" s="116"/>
      <c r="S47" s="127"/>
      <c r="T47" s="127"/>
      <c r="U47" s="116"/>
      <c r="V47" s="127"/>
      <c r="W47" s="127"/>
      <c r="X47" s="116"/>
      <c r="Y47" s="127"/>
      <c r="Z47" s="127"/>
      <c r="AA47" s="116"/>
      <c r="AB47" s="127"/>
      <c r="AC47" s="127"/>
      <c r="AD47" s="116"/>
      <c r="AE47" s="127"/>
      <c r="AF47" s="127"/>
      <c r="AG47" s="122"/>
      <c r="AH47" s="78"/>
    </row>
    <row r="48" spans="2:34" s="32" customFormat="1" ht="22.5" customHeight="1" x14ac:dyDescent="0.25">
      <c r="B48" s="126" t="s">
        <v>72</v>
      </c>
      <c r="C48" s="115" t="str">
        <f ca="1">IFERROR(Calc!K47,"")</f>
        <v>20 Jul - 26 Jul</v>
      </c>
      <c r="D48" s="127"/>
      <c r="E48" s="127"/>
      <c r="F48" s="116"/>
      <c r="G48" s="127"/>
      <c r="H48" s="127"/>
      <c r="I48" s="116"/>
      <c r="J48" s="127"/>
      <c r="K48" s="127"/>
      <c r="L48" s="116"/>
      <c r="M48" s="127"/>
      <c r="N48" s="127"/>
      <c r="O48" s="116"/>
      <c r="P48" s="127"/>
      <c r="Q48" s="127"/>
      <c r="R48" s="116"/>
      <c r="S48" s="127"/>
      <c r="T48" s="127"/>
      <c r="U48" s="116"/>
      <c r="V48" s="127"/>
      <c r="W48" s="127"/>
      <c r="X48" s="116"/>
      <c r="Y48" s="127"/>
      <c r="Z48" s="127"/>
      <c r="AA48" s="116"/>
      <c r="AB48" s="127"/>
      <c r="AC48" s="127"/>
      <c r="AD48" s="116"/>
      <c r="AE48" s="127"/>
      <c r="AF48" s="127"/>
      <c r="AG48" s="122"/>
      <c r="AH48" s="78"/>
    </row>
    <row r="49" spans="2:34" s="32" customFormat="1" ht="22.5" customHeight="1" x14ac:dyDescent="0.25">
      <c r="B49" s="126" t="s">
        <v>73</v>
      </c>
      <c r="C49" s="115" t="str">
        <f ca="1">IFERROR(Calc!K48,"")</f>
        <v>27 Jul - 2 Aug</v>
      </c>
      <c r="D49" s="127"/>
      <c r="E49" s="127"/>
      <c r="F49" s="116"/>
      <c r="G49" s="127"/>
      <c r="H49" s="127"/>
      <c r="I49" s="116"/>
      <c r="J49" s="127"/>
      <c r="K49" s="127"/>
      <c r="L49" s="116"/>
      <c r="M49" s="127"/>
      <c r="N49" s="127"/>
      <c r="O49" s="116"/>
      <c r="P49" s="127"/>
      <c r="Q49" s="127"/>
      <c r="R49" s="116"/>
      <c r="S49" s="127"/>
      <c r="T49" s="127"/>
      <c r="U49" s="116"/>
      <c r="V49" s="127"/>
      <c r="W49" s="127"/>
      <c r="X49" s="116"/>
      <c r="Y49" s="127"/>
      <c r="Z49" s="127"/>
      <c r="AA49" s="116"/>
      <c r="AB49" s="127"/>
      <c r="AC49" s="127"/>
      <c r="AD49" s="116"/>
      <c r="AE49" s="127"/>
      <c r="AF49" s="127"/>
      <c r="AG49" s="122"/>
      <c r="AH49" s="78"/>
    </row>
    <row r="50" spans="2:34" s="32" customFormat="1" ht="22.5" customHeight="1" x14ac:dyDescent="0.25">
      <c r="B50" s="126" t="s">
        <v>74</v>
      </c>
      <c r="C50" s="115" t="str">
        <f ca="1">IFERROR(Calc!K49,"")</f>
        <v>3 Aug - 9 Aug</v>
      </c>
      <c r="D50" s="127"/>
      <c r="E50" s="127"/>
      <c r="F50" s="116"/>
      <c r="G50" s="127"/>
      <c r="H50" s="127"/>
      <c r="I50" s="116"/>
      <c r="J50" s="127"/>
      <c r="K50" s="127"/>
      <c r="L50" s="116"/>
      <c r="M50" s="127"/>
      <c r="N50" s="127"/>
      <c r="O50" s="116"/>
      <c r="P50" s="127"/>
      <c r="Q50" s="127"/>
      <c r="R50" s="116"/>
      <c r="S50" s="127"/>
      <c r="T50" s="127"/>
      <c r="U50" s="116"/>
      <c r="V50" s="127"/>
      <c r="W50" s="127"/>
      <c r="X50" s="116"/>
      <c r="Y50" s="127"/>
      <c r="Z50" s="127"/>
      <c r="AA50" s="116"/>
      <c r="AB50" s="127"/>
      <c r="AC50" s="127"/>
      <c r="AD50" s="116"/>
      <c r="AE50" s="127"/>
      <c r="AF50" s="127"/>
      <c r="AG50" s="122"/>
      <c r="AH50" s="78"/>
    </row>
    <row r="51" spans="2:34" s="32" customFormat="1" ht="22.5" customHeight="1" x14ac:dyDescent="0.25">
      <c r="B51" s="126" t="s">
        <v>75</v>
      </c>
      <c r="C51" s="115" t="str">
        <f ca="1">IFERROR(Calc!K50,"")</f>
        <v>10 Aug - 16 Aug</v>
      </c>
      <c r="D51" s="127"/>
      <c r="E51" s="127"/>
      <c r="F51" s="116"/>
      <c r="G51" s="127"/>
      <c r="H51" s="127"/>
      <c r="I51" s="116"/>
      <c r="J51" s="127"/>
      <c r="K51" s="127"/>
      <c r="L51" s="116"/>
      <c r="M51" s="127"/>
      <c r="N51" s="127"/>
      <c r="O51" s="116"/>
      <c r="P51" s="127"/>
      <c r="Q51" s="127"/>
      <c r="R51" s="116"/>
      <c r="S51" s="127"/>
      <c r="T51" s="127"/>
      <c r="U51" s="116"/>
      <c r="V51" s="127"/>
      <c r="W51" s="127"/>
      <c r="X51" s="116"/>
      <c r="Y51" s="127"/>
      <c r="Z51" s="127"/>
      <c r="AA51" s="116"/>
      <c r="AB51" s="127"/>
      <c r="AC51" s="127"/>
      <c r="AD51" s="116"/>
      <c r="AE51" s="127"/>
      <c r="AF51" s="127"/>
      <c r="AG51" s="122"/>
      <c r="AH51" s="78"/>
    </row>
    <row r="52" spans="2:34" s="32" customFormat="1" ht="22.5" customHeight="1" x14ac:dyDescent="0.25">
      <c r="B52" s="126" t="s">
        <v>76</v>
      </c>
      <c r="C52" s="115" t="str">
        <f ca="1">IFERROR(Calc!K51,"")</f>
        <v>17 Aug - 23 Aug</v>
      </c>
      <c r="D52" s="127"/>
      <c r="E52" s="127"/>
      <c r="F52" s="116"/>
      <c r="G52" s="127"/>
      <c r="H52" s="127"/>
      <c r="I52" s="116"/>
      <c r="J52" s="127"/>
      <c r="K52" s="127"/>
      <c r="L52" s="116"/>
      <c r="M52" s="127"/>
      <c r="N52" s="127"/>
      <c r="O52" s="116"/>
      <c r="P52" s="127"/>
      <c r="Q52" s="127"/>
      <c r="R52" s="116"/>
      <c r="S52" s="127"/>
      <c r="T52" s="127"/>
      <c r="U52" s="116"/>
      <c r="V52" s="127"/>
      <c r="W52" s="127"/>
      <c r="X52" s="116"/>
      <c r="Y52" s="127"/>
      <c r="Z52" s="127"/>
      <c r="AA52" s="116"/>
      <c r="AB52" s="127"/>
      <c r="AC52" s="127"/>
      <c r="AD52" s="116"/>
      <c r="AE52" s="127"/>
      <c r="AF52" s="127"/>
      <c r="AG52" s="122"/>
      <c r="AH52" s="78"/>
    </row>
    <row r="53" spans="2:34" s="32" customFormat="1" ht="22.5" customHeight="1" x14ac:dyDescent="0.25">
      <c r="B53" s="126" t="s">
        <v>77</v>
      </c>
      <c r="C53" s="115" t="str">
        <f ca="1">IFERROR(Calc!K52,"")</f>
        <v>24 Aug - 30 Aug</v>
      </c>
      <c r="D53" s="127"/>
      <c r="E53" s="127"/>
      <c r="F53" s="116"/>
      <c r="G53" s="127"/>
      <c r="H53" s="127"/>
      <c r="I53" s="116"/>
      <c r="J53" s="127"/>
      <c r="K53" s="127"/>
      <c r="L53" s="116"/>
      <c r="M53" s="127"/>
      <c r="N53" s="127"/>
      <c r="O53" s="116"/>
      <c r="P53" s="127"/>
      <c r="Q53" s="127"/>
      <c r="R53" s="116"/>
      <c r="S53" s="127"/>
      <c r="T53" s="127"/>
      <c r="U53" s="116"/>
      <c r="V53" s="127"/>
      <c r="W53" s="127"/>
      <c r="X53" s="116"/>
      <c r="Y53" s="127"/>
      <c r="Z53" s="127"/>
      <c r="AA53" s="116"/>
      <c r="AB53" s="127"/>
      <c r="AC53" s="127"/>
      <c r="AD53" s="116"/>
      <c r="AE53" s="127"/>
      <c r="AF53" s="127"/>
      <c r="AG53" s="122"/>
      <c r="AH53" s="78"/>
    </row>
    <row r="54" spans="2:34" s="32" customFormat="1" ht="22.5" customHeight="1" x14ac:dyDescent="0.25">
      <c r="B54" s="126" t="s">
        <v>78</v>
      </c>
      <c r="C54" s="115" t="str">
        <f ca="1">IFERROR(Calc!K53,"")</f>
        <v>31 Aug - 6 Sep</v>
      </c>
      <c r="D54" s="127"/>
      <c r="E54" s="127"/>
      <c r="F54" s="116"/>
      <c r="G54" s="127"/>
      <c r="H54" s="127"/>
      <c r="I54" s="116"/>
      <c r="J54" s="127"/>
      <c r="K54" s="127"/>
      <c r="L54" s="116"/>
      <c r="M54" s="127"/>
      <c r="N54" s="127"/>
      <c r="O54" s="116"/>
      <c r="P54" s="127"/>
      <c r="Q54" s="127"/>
      <c r="R54" s="116"/>
      <c r="S54" s="127"/>
      <c r="T54" s="127"/>
      <c r="U54" s="116"/>
      <c r="V54" s="127"/>
      <c r="W54" s="127"/>
      <c r="X54" s="116"/>
      <c r="Y54" s="127"/>
      <c r="Z54" s="127"/>
      <c r="AA54" s="116"/>
      <c r="AB54" s="127"/>
      <c r="AC54" s="127"/>
      <c r="AD54" s="116"/>
      <c r="AE54" s="127"/>
      <c r="AF54" s="127"/>
      <c r="AG54" s="122"/>
      <c r="AH54" s="78"/>
    </row>
    <row r="55" spans="2:34" s="32" customFormat="1" ht="22.5" customHeight="1" x14ac:dyDescent="0.25">
      <c r="B55" s="126" t="s">
        <v>79</v>
      </c>
      <c r="C55" s="115" t="str">
        <f ca="1">IFERROR(Calc!K54,"")</f>
        <v>7 Sep - 13 Sep</v>
      </c>
      <c r="D55" s="127"/>
      <c r="E55" s="127"/>
      <c r="F55" s="116"/>
      <c r="G55" s="127"/>
      <c r="H55" s="127"/>
      <c r="I55" s="116"/>
      <c r="J55" s="127"/>
      <c r="K55" s="127"/>
      <c r="L55" s="116"/>
      <c r="M55" s="127"/>
      <c r="N55" s="127"/>
      <c r="O55" s="116"/>
      <c r="P55" s="127"/>
      <c r="Q55" s="127"/>
      <c r="R55" s="116"/>
      <c r="S55" s="127"/>
      <c r="T55" s="127"/>
      <c r="U55" s="116"/>
      <c r="V55" s="127"/>
      <c r="W55" s="127"/>
      <c r="X55" s="116"/>
      <c r="Y55" s="127"/>
      <c r="Z55" s="127"/>
      <c r="AA55" s="116"/>
      <c r="AB55" s="127"/>
      <c r="AC55" s="127"/>
      <c r="AD55" s="116"/>
      <c r="AE55" s="127"/>
      <c r="AF55" s="127"/>
      <c r="AG55" s="122"/>
      <c r="AH55" s="78"/>
    </row>
    <row r="56" spans="2:34" s="32" customFormat="1" ht="22.5" customHeight="1" x14ac:dyDescent="0.25">
      <c r="B56" s="126" t="s">
        <v>80</v>
      </c>
      <c r="C56" s="115" t="str">
        <f ca="1">IFERROR(Calc!K55,"")</f>
        <v>14 Sep - 20 Sep</v>
      </c>
      <c r="D56" s="127"/>
      <c r="E56" s="127"/>
      <c r="F56" s="116"/>
      <c r="G56" s="127"/>
      <c r="H56" s="127"/>
      <c r="I56" s="116"/>
      <c r="J56" s="127"/>
      <c r="K56" s="127"/>
      <c r="L56" s="116"/>
      <c r="M56" s="127"/>
      <c r="N56" s="127"/>
      <c r="O56" s="116"/>
      <c r="P56" s="127"/>
      <c r="Q56" s="127"/>
      <c r="R56" s="116"/>
      <c r="S56" s="127"/>
      <c r="T56" s="127"/>
      <c r="U56" s="116"/>
      <c r="V56" s="127"/>
      <c r="W56" s="127"/>
      <c r="X56" s="116"/>
      <c r="Y56" s="127"/>
      <c r="Z56" s="127"/>
      <c r="AA56" s="116"/>
      <c r="AB56" s="127"/>
      <c r="AC56" s="127"/>
      <c r="AD56" s="116"/>
      <c r="AE56" s="127"/>
      <c r="AF56" s="127"/>
      <c r="AG56" s="122"/>
      <c r="AH56" s="78"/>
    </row>
    <row r="57" spans="2:34" s="32" customFormat="1" ht="22.5" customHeight="1" x14ac:dyDescent="0.25">
      <c r="B57" s="126" t="s">
        <v>81</v>
      </c>
      <c r="C57" s="115" t="str">
        <f ca="1">IFERROR(Calc!K56,"")</f>
        <v>21 Sep - 27 Sep</v>
      </c>
      <c r="D57" s="127"/>
      <c r="E57" s="127"/>
      <c r="F57" s="116"/>
      <c r="G57" s="127"/>
      <c r="H57" s="127"/>
      <c r="I57" s="116"/>
      <c r="J57" s="127"/>
      <c r="K57" s="127"/>
      <c r="L57" s="116"/>
      <c r="M57" s="127"/>
      <c r="N57" s="127"/>
      <c r="O57" s="116"/>
      <c r="P57" s="127"/>
      <c r="Q57" s="127"/>
      <c r="R57" s="116"/>
      <c r="S57" s="127"/>
      <c r="T57" s="127"/>
      <c r="U57" s="116"/>
      <c r="V57" s="127"/>
      <c r="W57" s="127"/>
      <c r="X57" s="116"/>
      <c r="Y57" s="127"/>
      <c r="Z57" s="127"/>
      <c r="AA57" s="116"/>
      <c r="AB57" s="127"/>
      <c r="AC57" s="127"/>
      <c r="AD57" s="116"/>
      <c r="AE57" s="127"/>
      <c r="AF57" s="127"/>
      <c r="AG57" s="122"/>
      <c r="AH57" s="78"/>
    </row>
    <row r="58" spans="2:34" s="32" customFormat="1" ht="22.5" customHeight="1" x14ac:dyDescent="0.25">
      <c r="B58" s="126" t="s">
        <v>82</v>
      </c>
      <c r="C58" s="115" t="str">
        <f ca="1">IFERROR(Calc!K57,"")</f>
        <v>28 Sep - 4 Oct</v>
      </c>
      <c r="D58" s="127"/>
      <c r="E58" s="127"/>
      <c r="F58" s="116"/>
      <c r="G58" s="127"/>
      <c r="H58" s="127"/>
      <c r="I58" s="116"/>
      <c r="J58" s="127"/>
      <c r="K58" s="127"/>
      <c r="L58" s="116"/>
      <c r="M58" s="127"/>
      <c r="N58" s="127"/>
      <c r="O58" s="116"/>
      <c r="P58" s="127"/>
      <c r="Q58" s="127"/>
      <c r="R58" s="116"/>
      <c r="S58" s="127"/>
      <c r="T58" s="127"/>
      <c r="U58" s="116"/>
      <c r="V58" s="127"/>
      <c r="W58" s="127"/>
      <c r="X58" s="116"/>
      <c r="Y58" s="127"/>
      <c r="Z58" s="127"/>
      <c r="AA58" s="116"/>
      <c r="AB58" s="127"/>
      <c r="AC58" s="127"/>
      <c r="AD58" s="116"/>
      <c r="AE58" s="127"/>
      <c r="AF58" s="127"/>
      <c r="AG58" s="122"/>
      <c r="AH58" s="78"/>
    </row>
    <row r="59" spans="2:34" s="32" customFormat="1" ht="22.5" customHeight="1" x14ac:dyDescent="0.25">
      <c r="B59" s="126" t="s">
        <v>83</v>
      </c>
      <c r="C59" s="115" t="str">
        <f ca="1">IFERROR(Calc!K58,"")</f>
        <v>5 Oct - 11 Oct</v>
      </c>
      <c r="D59" s="127"/>
      <c r="E59" s="127"/>
      <c r="F59" s="116"/>
      <c r="G59" s="127"/>
      <c r="H59" s="127"/>
      <c r="I59" s="116"/>
      <c r="J59" s="127"/>
      <c r="K59" s="127"/>
      <c r="L59" s="116"/>
      <c r="M59" s="127"/>
      <c r="N59" s="127"/>
      <c r="O59" s="116"/>
      <c r="P59" s="127"/>
      <c r="Q59" s="127"/>
      <c r="R59" s="116"/>
      <c r="S59" s="127"/>
      <c r="T59" s="127"/>
      <c r="U59" s="116"/>
      <c r="V59" s="127"/>
      <c r="W59" s="127"/>
      <c r="X59" s="116"/>
      <c r="Y59" s="127"/>
      <c r="Z59" s="127"/>
      <c r="AA59" s="116"/>
      <c r="AB59" s="127"/>
      <c r="AC59" s="127"/>
      <c r="AD59" s="116"/>
      <c r="AE59" s="127"/>
      <c r="AF59" s="127"/>
      <c r="AG59" s="122"/>
      <c r="AH59" s="78"/>
    </row>
    <row r="60" spans="2:34" s="32" customFormat="1" ht="22.5" customHeight="1" x14ac:dyDescent="0.25">
      <c r="B60" s="128" t="s">
        <v>84</v>
      </c>
      <c r="C60" s="119" t="str">
        <f ca="1">IFERROR(Calc!K59,"")</f>
        <v>12 Oct - 18 Oct</v>
      </c>
      <c r="D60" s="129"/>
      <c r="E60" s="129"/>
      <c r="F60" s="120"/>
      <c r="G60" s="129"/>
      <c r="H60" s="129"/>
      <c r="I60" s="120"/>
      <c r="J60" s="129"/>
      <c r="K60" s="129"/>
      <c r="L60" s="120"/>
      <c r="M60" s="129"/>
      <c r="N60" s="129"/>
      <c r="O60" s="120"/>
      <c r="P60" s="129"/>
      <c r="Q60" s="129"/>
      <c r="R60" s="120"/>
      <c r="S60" s="129"/>
      <c r="T60" s="129"/>
      <c r="U60" s="120"/>
      <c r="V60" s="129"/>
      <c r="W60" s="129"/>
      <c r="X60" s="120"/>
      <c r="Y60" s="129"/>
      <c r="Z60" s="129"/>
      <c r="AA60" s="120"/>
      <c r="AB60" s="129"/>
      <c r="AC60" s="129"/>
      <c r="AD60" s="120"/>
      <c r="AE60" s="129"/>
      <c r="AF60" s="129"/>
      <c r="AG60" s="123"/>
      <c r="AH60" s="78"/>
    </row>
    <row r="61" spans="2:34" x14ac:dyDescent="0.25">
      <c r="B61" s="66"/>
      <c r="C61" s="79"/>
      <c r="D61" s="80"/>
      <c r="E61" s="80"/>
      <c r="F61" s="81"/>
      <c r="G61" s="80"/>
      <c r="H61" s="80"/>
      <c r="I61" s="81"/>
      <c r="J61" s="80"/>
      <c r="K61" s="80"/>
      <c r="L61" s="81"/>
      <c r="M61" s="80"/>
      <c r="N61" s="80"/>
      <c r="O61" s="81"/>
      <c r="P61" s="80"/>
      <c r="Q61" s="80"/>
      <c r="R61" s="81"/>
      <c r="S61" s="80"/>
      <c r="T61" s="80"/>
      <c r="U61" s="81"/>
      <c r="V61" s="80"/>
      <c r="W61" s="80"/>
      <c r="X61" s="81"/>
      <c r="Y61" s="80"/>
      <c r="Z61" s="80"/>
      <c r="AA61" s="81"/>
      <c r="AB61" s="80"/>
      <c r="AC61" s="80"/>
      <c r="AD61" s="81"/>
      <c r="AE61" s="80"/>
      <c r="AF61" s="80"/>
      <c r="AG61" s="81"/>
      <c r="AH61" s="69"/>
    </row>
  </sheetData>
  <sheetProtection algorithmName="SHA-512" hashValue="5LP0W495VBaLnc1r7xdb/+xfRdCO1n0Jh8wDsHIEex6DRVnd0N0VX5eJmTGtmUY0hTJN6Qfou7NKQxOfOsBsZg==" saltValue="elbTwH3KCOHpGb7XSYceJw==" spinCount="100000" sheet="1" objects="1" scenarios="1"/>
  <phoneticPr fontId="1" type="noConversion"/>
  <conditionalFormatting sqref="F9:F60">
    <cfRule type="iconSet" priority="63">
      <iconSet iconSet="3Signs" showValue="0">
        <cfvo type="percent" val="0"/>
        <cfvo type="num" val="80"/>
        <cfvo type="num" val="100"/>
      </iconSet>
    </cfRule>
  </conditionalFormatting>
  <conditionalFormatting sqref="I9:I60">
    <cfRule type="iconSet" priority="10">
      <iconSet iconSet="3Signs" showValue="0">
        <cfvo type="percent" val="0"/>
        <cfvo type="num" val="80"/>
        <cfvo type="num" val="100"/>
      </iconSet>
    </cfRule>
  </conditionalFormatting>
  <conditionalFormatting sqref="L9:L60">
    <cfRule type="iconSet" priority="9">
      <iconSet iconSet="3Signs" showValue="0">
        <cfvo type="percent" val="0"/>
        <cfvo type="num" val="80"/>
        <cfvo type="num" val="100"/>
      </iconSet>
    </cfRule>
  </conditionalFormatting>
  <conditionalFormatting sqref="O9:O60">
    <cfRule type="iconSet" priority="8">
      <iconSet iconSet="3Signs" showValue="0">
        <cfvo type="percent" val="0"/>
        <cfvo type="num" val="80"/>
        <cfvo type="num" val="100"/>
      </iconSet>
    </cfRule>
  </conditionalFormatting>
  <conditionalFormatting sqref="R9:R60">
    <cfRule type="iconSet" priority="7">
      <iconSet iconSet="3Signs" showValue="0">
        <cfvo type="percent" val="0"/>
        <cfvo type="num" val="80"/>
        <cfvo type="num" val="100"/>
      </iconSet>
    </cfRule>
  </conditionalFormatting>
  <conditionalFormatting sqref="U9:U60">
    <cfRule type="iconSet" priority="6">
      <iconSet iconSet="3Signs" showValue="0">
        <cfvo type="percent" val="0"/>
        <cfvo type="num" val="80"/>
        <cfvo type="num" val="100"/>
      </iconSet>
    </cfRule>
  </conditionalFormatting>
  <conditionalFormatting sqref="X9:X60">
    <cfRule type="iconSet" priority="5">
      <iconSet iconSet="3Signs" showValue="0">
        <cfvo type="percent" val="0"/>
        <cfvo type="num" val="80"/>
        <cfvo type="num" val="100"/>
      </iconSet>
    </cfRule>
  </conditionalFormatting>
  <conditionalFormatting sqref="AA9:AA60">
    <cfRule type="iconSet" priority="4">
      <iconSet iconSet="3Signs" showValue="0">
        <cfvo type="percent" val="0"/>
        <cfvo type="num" val="80"/>
        <cfvo type="num" val="100"/>
      </iconSet>
    </cfRule>
  </conditionalFormatting>
  <conditionalFormatting sqref="AD9:AD60">
    <cfRule type="iconSet" priority="3">
      <iconSet iconSet="3Signs" showValue="0">
        <cfvo type="percent" val="0"/>
        <cfvo type="num" val="80"/>
        <cfvo type="num" val="100"/>
      </iconSet>
    </cfRule>
  </conditionalFormatting>
  <conditionalFormatting sqref="AG9:AG18">
    <cfRule type="iconSet" priority="2">
      <iconSet iconSet="3Signs" showValue="0">
        <cfvo type="percent" val="0"/>
        <cfvo type="num" val="80"/>
        <cfvo type="num" val="100"/>
      </iconSet>
    </cfRule>
  </conditionalFormatting>
  <conditionalFormatting sqref="AG19:AG60">
    <cfRule type="iconSet" priority="1">
      <iconSet iconSet="3Signs" showValue="0">
        <cfvo type="percent" val="0"/>
        <cfvo type="num" val="80"/>
        <cfvo type="num" val="100"/>
      </iconSet>
    </cfRule>
  </conditionalFormatting>
  <printOptions horizontalCentered="1" verticalCentered="1"/>
  <pageMargins left="0.31496062992125984" right="0.31496062992125984" top="0.31496062992125984" bottom="0.31496062992125984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8A37-6978-490C-B52F-30497E50BAC1}">
  <sheetPr codeName="Sheet3">
    <pageSetUpPr fitToPage="1"/>
  </sheetPr>
  <dimension ref="A1:E41"/>
  <sheetViews>
    <sheetView showGridLines="0" showRowColHeaders="0" zoomScaleNormal="100" zoomScaleSheetLayoutView="85" workbookViewId="0">
      <pane ySplit="3" topLeftCell="A4" activePane="bottomLeft" state="frozen"/>
      <selection activeCell="A5" sqref="A5"/>
      <selection pane="bottomLeft" activeCell="A4" sqref="A4"/>
    </sheetView>
  </sheetViews>
  <sheetFormatPr defaultColWidth="8.85546875" defaultRowHeight="15" x14ac:dyDescent="0.25"/>
  <cols>
    <col min="1" max="1" width="3.7109375" style="92" customWidth="1"/>
    <col min="2" max="2" width="147.140625" style="94" customWidth="1"/>
    <col min="3" max="16384" width="8.85546875" style="94"/>
  </cols>
  <sheetData>
    <row r="1" spans="1:5" s="82" customFormat="1" ht="6.75" customHeight="1" x14ac:dyDescent="0.25">
      <c r="B1" s="83"/>
    </row>
    <row r="2" spans="1:5" s="84" customFormat="1" ht="20.100000000000001" customHeight="1" x14ac:dyDescent="0.25">
      <c r="B2" s="85" t="s">
        <v>126</v>
      </c>
      <c r="C2" s="86"/>
      <c r="D2" s="87"/>
      <c r="E2" s="87"/>
    </row>
    <row r="3" spans="1:5" s="88" customFormat="1" ht="24" customHeight="1" x14ac:dyDescent="0.25">
      <c r="B3" s="102" t="s">
        <v>127</v>
      </c>
      <c r="C3" s="89"/>
      <c r="D3" s="90"/>
      <c r="E3" s="90"/>
    </row>
    <row r="4" spans="1:5" s="91" customFormat="1" ht="6" customHeight="1" x14ac:dyDescent="0.25"/>
    <row r="5" spans="1:5" ht="42" customHeight="1" x14ac:dyDescent="0.25">
      <c r="B5" s="93" t="s">
        <v>128</v>
      </c>
    </row>
    <row r="6" spans="1:5" ht="7.15" customHeight="1" x14ac:dyDescent="0.25">
      <c r="A6" s="95"/>
      <c r="B6" s="96"/>
    </row>
    <row r="7" spans="1:5" ht="31.15" customHeight="1" x14ac:dyDescent="0.25">
      <c r="B7" s="97" t="s">
        <v>129</v>
      </c>
    </row>
    <row r="8" spans="1:5" ht="7.15" customHeight="1" x14ac:dyDescent="0.25">
      <c r="B8" s="96"/>
    </row>
    <row r="9" spans="1:5" ht="105.75" customHeight="1" x14ac:dyDescent="0.25">
      <c r="B9" s="98" t="s">
        <v>130</v>
      </c>
    </row>
    <row r="10" spans="1:5" ht="13.15" customHeight="1" x14ac:dyDescent="0.25">
      <c r="B10" s="96"/>
    </row>
    <row r="11" spans="1:5" ht="16.899999999999999" customHeight="1" x14ac:dyDescent="0.25">
      <c r="A11" s="99"/>
      <c r="B11" s="100" t="s">
        <v>131</v>
      </c>
    </row>
    <row r="12" spans="1:5" ht="7.15" customHeight="1" x14ac:dyDescent="0.25">
      <c r="A12" s="99"/>
      <c r="B12" s="96"/>
    </row>
    <row r="13" spans="1:5" ht="73.150000000000006" customHeight="1" x14ac:dyDescent="0.25">
      <c r="A13" s="99"/>
      <c r="B13" s="97" t="s">
        <v>132</v>
      </c>
    </row>
    <row r="14" spans="1:5" x14ac:dyDescent="0.25">
      <c r="A14" s="99"/>
      <c r="B14" s="96"/>
    </row>
    <row r="15" spans="1:5" ht="16.899999999999999" customHeight="1" x14ac:dyDescent="0.25">
      <c r="A15" s="99"/>
      <c r="B15" s="100" t="s">
        <v>133</v>
      </c>
    </row>
    <row r="16" spans="1:5" ht="18" customHeight="1" x14ac:dyDescent="0.25">
      <c r="B16" s="96" t="s">
        <v>134</v>
      </c>
    </row>
    <row r="17" spans="2:2" ht="9.9499999999999993" customHeight="1" x14ac:dyDescent="0.25">
      <c r="B17" s="101"/>
    </row>
    <row r="18" spans="2:2" ht="11.45" customHeight="1" x14ac:dyDescent="0.25"/>
    <row r="19" spans="2:2" ht="16.899999999999999" customHeight="1" x14ac:dyDescent="0.25"/>
    <row r="20" spans="2:2" ht="16.899999999999999" customHeight="1" x14ac:dyDescent="0.25"/>
    <row r="21" spans="2:2" ht="16.899999999999999" customHeight="1" x14ac:dyDescent="0.25"/>
    <row r="22" spans="2:2" ht="16.899999999999999" customHeight="1" x14ac:dyDescent="0.25"/>
    <row r="23" spans="2:2" ht="16.899999999999999" customHeight="1" x14ac:dyDescent="0.25"/>
    <row r="24" spans="2:2" ht="16.899999999999999" customHeight="1" x14ac:dyDescent="0.25"/>
    <row r="25" spans="2:2" ht="16.899999999999999" customHeight="1" x14ac:dyDescent="0.25"/>
    <row r="26" spans="2:2" ht="16.899999999999999" customHeight="1" x14ac:dyDescent="0.25"/>
    <row r="27" spans="2:2" ht="16.899999999999999" customHeight="1" x14ac:dyDescent="0.25"/>
    <row r="28" spans="2:2" ht="16.899999999999999" customHeight="1" x14ac:dyDescent="0.25"/>
    <row r="29" spans="2:2" ht="16.899999999999999" customHeight="1" x14ac:dyDescent="0.25"/>
    <row r="30" spans="2:2" ht="16.899999999999999" customHeight="1" x14ac:dyDescent="0.25"/>
    <row r="31" spans="2:2" ht="16.899999999999999" customHeight="1" x14ac:dyDescent="0.25"/>
    <row r="32" spans="2:2" ht="16.899999999999999" customHeight="1" x14ac:dyDescent="0.25"/>
    <row r="33" ht="16.899999999999999" customHeight="1" x14ac:dyDescent="0.25"/>
    <row r="34" ht="16.899999999999999" customHeight="1" x14ac:dyDescent="0.25"/>
    <row r="35" ht="16.899999999999999" customHeight="1" x14ac:dyDescent="0.25"/>
    <row r="36" ht="16.899999999999999" customHeight="1" x14ac:dyDescent="0.25"/>
    <row r="37" ht="16.899999999999999" customHeight="1" x14ac:dyDescent="0.25"/>
    <row r="38" ht="16.899999999999999" customHeight="1" x14ac:dyDescent="0.25"/>
    <row r="39" ht="16.899999999999999" customHeight="1" x14ac:dyDescent="0.25"/>
    <row r="40" ht="16.899999999999999" customHeight="1" x14ac:dyDescent="0.25"/>
    <row r="41" ht="16.899999999999999" customHeight="1" x14ac:dyDescent="0.25"/>
  </sheetData>
  <sheetProtection algorithmName="SHA-512" hashValue="c/i472rrZROGlkGNBJEjddJO3CDGHc5svHt2FQPZHtoqha/vgqqHlPJl+86WTK/OuRylMPAuSTubO0kdrz8PbA==" saltValue="YYLH37mFSF0fGXnSsugX4Q==" spinCount="100000" sheet="1" objects="1" scenarios="1" selectLockedCells="1" selectUnlockedCells="1"/>
  <printOptions horizontalCentered="1"/>
  <pageMargins left="0.31496062992125984" right="0.31496062992125984" top="0.31496062992125984" bottom="0.31496062992125984" header="0.31496062992125984" footer="0.31496062992125984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DFAC-8AE9-4FB7-A488-58622D7585F8}">
  <sheetPr codeName="Sheet4"/>
  <dimension ref="B3:V59"/>
  <sheetViews>
    <sheetView showGridLines="0" showRowColHeaders="0" workbookViewId="0"/>
  </sheetViews>
  <sheetFormatPr defaultRowHeight="15" x14ac:dyDescent="0.25"/>
  <cols>
    <col min="1" max="1" width="9.140625" style="35"/>
    <col min="2" max="2" width="15.7109375" style="35" customWidth="1"/>
    <col min="3" max="5" width="9.140625" style="35"/>
    <col min="6" max="6" width="14.28515625" style="35" customWidth="1"/>
    <col min="7" max="7" width="9.140625" style="35"/>
    <col min="8" max="8" width="8.5703125" style="36" customWidth="1"/>
    <col min="9" max="11" width="25.7109375" style="35" customWidth="1"/>
    <col min="12" max="12" width="9.140625" style="35" customWidth="1"/>
    <col min="13" max="13" width="17.140625" style="36" customWidth="1"/>
    <col min="14" max="14" width="28.5703125" style="36" customWidth="1"/>
    <col min="15" max="22" width="17.140625" style="36" customWidth="1"/>
    <col min="23" max="16384" width="9.140625" style="35"/>
  </cols>
  <sheetData>
    <row r="3" spans="2:22" customFormat="1" x14ac:dyDescent="0.25">
      <c r="B3" s="50" t="s">
        <v>90</v>
      </c>
      <c r="C3" s="50"/>
      <c r="H3" s="50" t="s">
        <v>91</v>
      </c>
      <c r="I3" s="50"/>
      <c r="J3" s="50"/>
      <c r="K3" s="50"/>
      <c r="M3" s="8" t="s">
        <v>92</v>
      </c>
      <c r="N3" s="8"/>
      <c r="O3" s="8"/>
      <c r="P3" s="8"/>
      <c r="Q3" s="8"/>
      <c r="R3" s="8"/>
      <c r="S3" s="8"/>
      <c r="T3" s="8"/>
      <c r="U3" s="8"/>
      <c r="V3" s="8"/>
    </row>
    <row r="4" spans="2:22" x14ac:dyDescent="0.25">
      <c r="J4" s="37"/>
    </row>
    <row r="5" spans="2:22" x14ac:dyDescent="0.25">
      <c r="I5" s="38" t="s">
        <v>9</v>
      </c>
      <c r="J5" s="39">
        <f ca="1">IFERROR(IF(Menu!$D$7="",TODAY(),Menu!$D$7),"")</f>
        <v>45950</v>
      </c>
      <c r="Q5" s="40" t="s">
        <v>88</v>
      </c>
      <c r="R5" s="40">
        <v>3</v>
      </c>
    </row>
    <row r="7" spans="2:22" x14ac:dyDescent="0.25">
      <c r="B7" s="41" t="s">
        <v>1</v>
      </c>
      <c r="D7" s="41" t="s">
        <v>4</v>
      </c>
      <c r="F7" s="41" t="s">
        <v>12</v>
      </c>
      <c r="H7" s="42" t="s">
        <v>30</v>
      </c>
      <c r="I7" s="43" t="s">
        <v>10</v>
      </c>
      <c r="J7" s="43" t="s">
        <v>11</v>
      </c>
      <c r="K7" s="43" t="s">
        <v>86</v>
      </c>
      <c r="M7" s="42" t="s">
        <v>26</v>
      </c>
      <c r="N7" s="42" t="s">
        <v>27</v>
      </c>
      <c r="O7" s="42" t="s">
        <v>25</v>
      </c>
      <c r="P7" s="42" t="s">
        <v>4</v>
      </c>
      <c r="Q7" s="42" t="s">
        <v>31</v>
      </c>
      <c r="R7" s="42" t="s">
        <v>32</v>
      </c>
      <c r="S7" s="42" t="s">
        <v>28</v>
      </c>
      <c r="T7" s="42" t="s">
        <v>29</v>
      </c>
      <c r="U7" s="42" t="s">
        <v>30</v>
      </c>
      <c r="V7" s="42" t="s">
        <v>87</v>
      </c>
    </row>
    <row r="8" spans="2:22" x14ac:dyDescent="0.25">
      <c r="B8" s="44" t="s">
        <v>2</v>
      </c>
      <c r="D8" s="44" t="s">
        <v>5</v>
      </c>
      <c r="F8" s="44" t="s">
        <v>13</v>
      </c>
      <c r="H8" s="40">
        <v>1</v>
      </c>
      <c r="I8" s="45">
        <f ca="1">IFERROR($J$5,"")</f>
        <v>45950</v>
      </c>
      <c r="J8" s="45">
        <f ca="1">IFERROR(I8+6,"")</f>
        <v>45956</v>
      </c>
      <c r="K8" s="40" t="str">
        <f t="array" aca="1" ref="K8" ca="1">IFERROR(DAY(I8)&amp;" "&amp;INDEX($F$8:$F$19,MONTH(I8))&amp;" - "&amp;DAY(J8)&amp;" "&amp;INDEX($F$8:$F$19,MONTH(J8)),"")</f>
        <v>20 Oct - 26 Oct</v>
      </c>
      <c r="M8" s="40" t="str">
        <f>IFERROR(IF(Menu!C10="","",Menu!C10),"")</f>
        <v>Sales Performance</v>
      </c>
      <c r="N8" s="40" t="str">
        <f>IFERROR(IF(Menu!D10="","",Menu!D10),"")</f>
        <v>Monthly Revenue</v>
      </c>
      <c r="O8" s="40" t="str">
        <f>IFERROR(IF(Menu!F10="","",Menu!F10),"")</f>
        <v>Sum</v>
      </c>
      <c r="P8" s="40" t="str">
        <f>IFERROR(IF(Menu!G10="","",Menu!G10),"")</f>
        <v>Higher</v>
      </c>
      <c r="Q8" s="46">
        <v>1</v>
      </c>
      <c r="R8" s="46">
        <v>2</v>
      </c>
      <c r="S8" s="46">
        <f ca="1">IFERROR(IF(N8="","",IF(O8=$B$9,AVERAGE(OFFSET(Report!$C$9,0,Calc!Q8,10.1)),SUM(OFFSET(Report!$C$9,0,Calc!Q8,10.1)))),"")</f>
        <v>9000</v>
      </c>
      <c r="T8" s="46">
        <f ca="1">IFERROR(IF(N8="","",IF(O8=$B$9,AVERAGE(OFFSET(Report!$C$9,0,Calc!R8,10.1)),SUM(OFFSET(Report!$C$9,0,Calc!R8,10.1)))),"")</f>
        <v>7370</v>
      </c>
      <c r="U8" s="46">
        <f t="shared" ref="U8:U17" ca="1" si="0">IFERROR(IF(N8="","",IF(P8=$D$9,S8/T8*100,T8/S8*100)),100)</f>
        <v>81.888888888888886</v>
      </c>
      <c r="V8" s="46">
        <f ca="1">IFERROR(IF(U8&gt;=100,0,100-U8),"")</f>
        <v>18.111111111111114</v>
      </c>
    </row>
    <row r="9" spans="2:22" x14ac:dyDescent="0.25">
      <c r="B9" s="44" t="s">
        <v>3</v>
      </c>
      <c r="D9" s="44" t="s">
        <v>6</v>
      </c>
      <c r="F9" s="44" t="s">
        <v>14</v>
      </c>
      <c r="H9" s="40">
        <v>2</v>
      </c>
      <c r="I9" s="45">
        <f ca="1">IFERROR(J8+1,"")</f>
        <v>45957</v>
      </c>
      <c r="J9" s="45">
        <f t="shared" ref="J9:J59" ca="1" si="1">IFERROR(I9+6,"")</f>
        <v>45963</v>
      </c>
      <c r="K9" s="40" t="str">
        <f t="array" aca="1" ref="K9" ca="1">IFERROR(DAY(I9)&amp;" "&amp;INDEX($F$8:$F$19,MONTH(I9))&amp;" - "&amp;DAY(J9)&amp;" "&amp;INDEX($F$8:$F$19,MONTH(J9)),"")</f>
        <v>27 Oct - 2 Nov</v>
      </c>
      <c r="M9" s="40" t="str">
        <f>IFERROR(IF(Menu!C11="","",Menu!C11),"")</f>
        <v>Sales Performance</v>
      </c>
      <c r="N9" s="40" t="str">
        <f>IFERROR(IF(Menu!D11="","",Menu!D11),"")</f>
        <v>Customer Acquisition Cost (CAC)</v>
      </c>
      <c r="O9" s="40" t="str">
        <f>IFERROR(IF(Menu!F11="","",Menu!F11),"")</f>
        <v>Average</v>
      </c>
      <c r="P9" s="40" t="str">
        <f>IFERROR(IF(Menu!G11="","",Menu!G11),"")</f>
        <v>Lower</v>
      </c>
      <c r="Q9" s="46">
        <f>Q8+$R$5</f>
        <v>4</v>
      </c>
      <c r="R9" s="46">
        <f>R8+$R$5</f>
        <v>5</v>
      </c>
      <c r="S9" s="46">
        <f ca="1">IFERROR(IF(N9="","",IF(O9=$B$9,AVERAGE(OFFSET(Report!$C$9,0,Calc!Q9,10.1)),SUM(OFFSET(Report!$C$9,0,Calc!Q9,10.1)))),"")</f>
        <v>10</v>
      </c>
      <c r="T9" s="46">
        <f ca="1">IFERROR(IF(N9="","",IF(O9=$B$9,AVERAGE(OFFSET(Report!$C$9,0,Calc!R9,10.1)),SUM(OFFSET(Report!$C$9,0,Calc!R9,10.1)))),"")</f>
        <v>11</v>
      </c>
      <c r="U9" s="46">
        <f t="shared" ca="1" si="0"/>
        <v>90.909090909090907</v>
      </c>
      <c r="V9" s="46">
        <f t="shared" ref="V9:V17" ca="1" si="2">IFERROR(IF(U9&gt;=100,0,100-U9),"")</f>
        <v>9.0909090909090935</v>
      </c>
    </row>
    <row r="10" spans="2:22" x14ac:dyDescent="0.25">
      <c r="F10" s="44" t="s">
        <v>15</v>
      </c>
      <c r="H10" s="40">
        <v>3</v>
      </c>
      <c r="I10" s="45">
        <f t="shared" ref="I10:I59" ca="1" si="3">IFERROR(J9+1,"")</f>
        <v>45964</v>
      </c>
      <c r="J10" s="45">
        <f t="shared" ca="1" si="1"/>
        <v>45970</v>
      </c>
      <c r="K10" s="40" t="str">
        <f t="array" aca="1" ref="K10" ca="1">IFERROR(DAY(I10)&amp;" "&amp;INDEX($F$8:$F$19,MONTH(I10))&amp;" - "&amp;DAY(J10)&amp;" "&amp;INDEX($F$8:$F$19,MONTH(J10)),"")</f>
        <v>3 Nov - 9 Nov</v>
      </c>
      <c r="M10" s="40" t="str">
        <f>IFERROR(IF(Menu!C12="","",Menu!C12),"")</f>
        <v>Sales Performance</v>
      </c>
      <c r="N10" s="40" t="str">
        <f>IFERROR(IF(Menu!D12="","",Menu!D12),"")</f>
        <v>Conversion Rate</v>
      </c>
      <c r="O10" s="40" t="str">
        <f>IFERROR(IF(Menu!F12="","",Menu!F12),"")</f>
        <v>Average</v>
      </c>
      <c r="P10" s="40" t="str">
        <f>IFERROR(IF(Menu!G12="","",Menu!G12),"")</f>
        <v>Higher</v>
      </c>
      <c r="Q10" s="46">
        <f t="shared" ref="Q10:Q17" si="4">Q9+$R$5</f>
        <v>7</v>
      </c>
      <c r="R10" s="46">
        <f t="shared" ref="R10:R17" si="5">R9+$R$5</f>
        <v>8</v>
      </c>
      <c r="S10" s="46">
        <f ca="1">IFERROR(IF(N10="","",IF(O10=$B$9,AVERAGE(OFFSET(Report!$C$9,0,Calc!Q10,10.1)),SUM(OFFSET(Report!$C$9,0,Calc!Q10,10.1)))),"")</f>
        <v>5</v>
      </c>
      <c r="T10" s="46">
        <f ca="1">IFERROR(IF(N10="","",IF(O10=$B$9,AVERAGE(OFFSET(Report!$C$9,0,Calc!R10,10.1)),SUM(OFFSET(Report!$C$9,0,Calc!R10,10.1)))),"")</f>
        <v>3.1666666666666665</v>
      </c>
      <c r="U10" s="46">
        <f t="shared" ca="1" si="0"/>
        <v>63.333333333333329</v>
      </c>
      <c r="V10" s="46">
        <f t="shared" ca="1" si="2"/>
        <v>36.666666666666671</v>
      </c>
    </row>
    <row r="11" spans="2:22" x14ac:dyDescent="0.25">
      <c r="F11" s="44" t="s">
        <v>16</v>
      </c>
      <c r="H11" s="40">
        <v>4</v>
      </c>
      <c r="I11" s="45">
        <f t="shared" ca="1" si="3"/>
        <v>45971</v>
      </c>
      <c r="J11" s="45">
        <f t="shared" ca="1" si="1"/>
        <v>45977</v>
      </c>
      <c r="K11" s="40" t="str">
        <f t="array" aca="1" ref="K11" ca="1">IFERROR(DAY(I11)&amp;" "&amp;INDEX($F$8:$F$19,MONTH(I11))&amp;" - "&amp;DAY(J11)&amp;" "&amp;INDEX($F$8:$F$19,MONTH(J11)),"")</f>
        <v>10 Nov - 16 Nov</v>
      </c>
      <c r="M11" s="40" t="str">
        <f>IFERROR(IF(Menu!C13="","",Menu!C13),"")</f>
        <v>Customer Success</v>
      </c>
      <c r="N11" s="40" t="str">
        <f>IFERROR(IF(Menu!D13="","",Menu!D13),"")</f>
        <v>Customer Lifetime Value (CLV)</v>
      </c>
      <c r="O11" s="40" t="str">
        <f>IFERROR(IF(Menu!F13="","",Menu!F13),"")</f>
        <v>Average</v>
      </c>
      <c r="P11" s="40" t="str">
        <f>IFERROR(IF(Menu!G13="","",Menu!G13),"")</f>
        <v>Higher</v>
      </c>
      <c r="Q11" s="46">
        <f t="shared" si="4"/>
        <v>10</v>
      </c>
      <c r="R11" s="46">
        <f t="shared" si="5"/>
        <v>11</v>
      </c>
      <c r="S11" s="46">
        <f ca="1">IFERROR(IF(N11="","",IF(O11=$B$9,AVERAGE(OFFSET(Report!$C$9,0,Calc!Q11,10.1)),SUM(OFFSET(Report!$C$9,0,Calc!Q11,10.1)))),"")</f>
        <v>2666.6666666666665</v>
      </c>
      <c r="T11" s="46">
        <f ca="1">IFERROR(IF(N11="","",IF(O11=$B$9,AVERAGE(OFFSET(Report!$C$9,0,Calc!R11,10.1)),SUM(OFFSET(Report!$C$9,0,Calc!R11,10.1)))),"")</f>
        <v>2800</v>
      </c>
      <c r="U11" s="46">
        <f t="shared" ca="1" si="0"/>
        <v>105</v>
      </c>
      <c r="V11" s="46">
        <f t="shared" ca="1" si="2"/>
        <v>0</v>
      </c>
    </row>
    <row r="12" spans="2:22" x14ac:dyDescent="0.25">
      <c r="F12" s="44" t="s">
        <v>17</v>
      </c>
      <c r="H12" s="40">
        <v>5</v>
      </c>
      <c r="I12" s="45">
        <f t="shared" ca="1" si="3"/>
        <v>45978</v>
      </c>
      <c r="J12" s="45">
        <f t="shared" ca="1" si="1"/>
        <v>45984</v>
      </c>
      <c r="K12" s="40" t="str">
        <f t="array" aca="1" ref="K12" ca="1">IFERROR(DAY(I12)&amp;" "&amp;INDEX($F$8:$F$19,MONTH(I12))&amp;" - "&amp;DAY(J12)&amp;" "&amp;INDEX($F$8:$F$19,MONTH(J12)),"")</f>
        <v>17 Nov - 23 Nov</v>
      </c>
      <c r="M12" s="40" t="str">
        <f>IFERROR(IF(Menu!C14="","",Menu!C14),"")</f>
        <v>Customer Success</v>
      </c>
      <c r="N12" s="40" t="str">
        <f>IFERROR(IF(Menu!D14="","",Menu!D14),"")</f>
        <v>Customer Retention Rate</v>
      </c>
      <c r="O12" s="40" t="str">
        <f>IFERROR(IF(Menu!F14="","",Menu!F14),"")</f>
        <v>Average</v>
      </c>
      <c r="P12" s="40" t="str">
        <f>IFERROR(IF(Menu!G14="","",Menu!G14),"")</f>
        <v>Higher</v>
      </c>
      <c r="Q12" s="46">
        <f t="shared" si="4"/>
        <v>13</v>
      </c>
      <c r="R12" s="46">
        <f t="shared" si="5"/>
        <v>14</v>
      </c>
      <c r="S12" s="46">
        <f ca="1">IFERROR(IF(N12="","",IF(O12=$B$9,AVERAGE(OFFSET(Report!$C$9,0,Calc!Q12,10.1)),SUM(OFFSET(Report!$C$9,0,Calc!Q12,10.1)))),"")</f>
        <v>30</v>
      </c>
      <c r="T12" s="46">
        <f ca="1">IFERROR(IF(N12="","",IF(O12=$B$9,AVERAGE(OFFSET(Report!$C$9,0,Calc!R12,10.1)),SUM(OFFSET(Report!$C$9,0,Calc!R12,10.1)))),"")</f>
        <v>25</v>
      </c>
      <c r="U12" s="46">
        <f t="shared" ca="1" si="0"/>
        <v>83.333333333333343</v>
      </c>
      <c r="V12" s="46">
        <f t="shared" ca="1" si="2"/>
        <v>16.666666666666657</v>
      </c>
    </row>
    <row r="13" spans="2:22" x14ac:dyDescent="0.25">
      <c r="F13" s="44" t="s">
        <v>18</v>
      </c>
      <c r="H13" s="40">
        <v>6</v>
      </c>
      <c r="I13" s="45">
        <f t="shared" ca="1" si="3"/>
        <v>45985</v>
      </c>
      <c r="J13" s="45">
        <f t="shared" ca="1" si="1"/>
        <v>45991</v>
      </c>
      <c r="K13" s="40" t="str">
        <f t="array" aca="1" ref="K13" ca="1">IFERROR(DAY(I13)&amp;" "&amp;INDEX($F$8:$F$19,MONTH(I13))&amp;" - "&amp;DAY(J13)&amp;" "&amp;INDEX($F$8:$F$19,MONTH(J13)),"")</f>
        <v>24 Nov - 30 Nov</v>
      </c>
      <c r="M13" s="40" t="str">
        <f>IFERROR(IF(Menu!C15="","",Menu!C15),"")</f>
        <v>Customer Success</v>
      </c>
      <c r="N13" s="40" t="str">
        <f>IFERROR(IF(Menu!D15="","",Menu!D15),"")</f>
        <v>Net Promoter Score (NPS)</v>
      </c>
      <c r="O13" s="40" t="str">
        <f>IFERROR(IF(Menu!F15="","",Menu!F15),"")</f>
        <v>Average</v>
      </c>
      <c r="P13" s="40" t="str">
        <f>IFERROR(IF(Menu!G15="","",Menu!G15),"")</f>
        <v>Higher</v>
      </c>
      <c r="Q13" s="46">
        <f t="shared" si="4"/>
        <v>16</v>
      </c>
      <c r="R13" s="46">
        <f t="shared" si="5"/>
        <v>17</v>
      </c>
      <c r="S13" s="46">
        <f ca="1">IFERROR(IF(N13="","",IF(O13=$B$9,AVERAGE(OFFSET(Report!$C$9,0,Calc!Q13,10.1)),SUM(OFFSET(Report!$C$9,0,Calc!Q13,10.1)))),"")</f>
        <v>200</v>
      </c>
      <c r="T13" s="46">
        <f ca="1">IFERROR(IF(N13="","",IF(O13=$B$9,AVERAGE(OFFSET(Report!$C$9,0,Calc!R13,10.1)),SUM(OFFSET(Report!$C$9,0,Calc!R13,10.1)))),"")</f>
        <v>125</v>
      </c>
      <c r="U13" s="46">
        <f t="shared" ca="1" si="0"/>
        <v>62.5</v>
      </c>
      <c r="V13" s="46">
        <f t="shared" ca="1" si="2"/>
        <v>37.5</v>
      </c>
    </row>
    <row r="14" spans="2:22" x14ac:dyDescent="0.25">
      <c r="F14" s="44" t="s">
        <v>19</v>
      </c>
      <c r="H14" s="40">
        <v>7</v>
      </c>
      <c r="I14" s="45">
        <f t="shared" ca="1" si="3"/>
        <v>45992</v>
      </c>
      <c r="J14" s="45">
        <f t="shared" ca="1" si="1"/>
        <v>45998</v>
      </c>
      <c r="K14" s="40" t="str">
        <f t="array" aca="1" ref="K14" ca="1">IFERROR(DAY(I14)&amp;" "&amp;INDEX($F$8:$F$19,MONTH(I14))&amp;" - "&amp;DAY(J14)&amp;" "&amp;INDEX($F$8:$F$19,MONTH(J14)),"")</f>
        <v>1 Dec - 7 Dec</v>
      </c>
      <c r="M14" s="40" t="str">
        <f>IFERROR(IF(Menu!C16="","",Menu!C16),"")</f>
        <v>Financial Health</v>
      </c>
      <c r="N14" s="40" t="str">
        <f>IFERROR(IF(Menu!D16="","",Menu!D16),"")</f>
        <v>Gross Profit Margin</v>
      </c>
      <c r="O14" s="40" t="str">
        <f>IFERROR(IF(Menu!F16="","",Menu!F16),"")</f>
        <v>Average</v>
      </c>
      <c r="P14" s="40" t="str">
        <f>IFERROR(IF(Menu!G16="","",Menu!G16),"")</f>
        <v>Higher</v>
      </c>
      <c r="Q14" s="46">
        <f t="shared" si="4"/>
        <v>19</v>
      </c>
      <c r="R14" s="46">
        <f t="shared" si="5"/>
        <v>20</v>
      </c>
      <c r="S14" s="46">
        <f ca="1">IFERROR(IF(N14="","",IF(O14=$B$9,AVERAGE(OFFSET(Report!$C$9,0,Calc!Q14,10.1)),SUM(OFFSET(Report!$C$9,0,Calc!Q14,10.1)))),"")</f>
        <v>20</v>
      </c>
      <c r="T14" s="46">
        <f ca="1">IFERROR(IF(N14="","",IF(O14=$B$9,AVERAGE(OFFSET(Report!$C$9,0,Calc!R14,10.1)),SUM(OFFSET(Report!$C$9,0,Calc!R14,10.1)))),"")</f>
        <v>22</v>
      </c>
      <c r="U14" s="46">
        <f t="shared" ca="1" si="0"/>
        <v>110.00000000000001</v>
      </c>
      <c r="V14" s="46">
        <f t="shared" ca="1" si="2"/>
        <v>0</v>
      </c>
    </row>
    <row r="15" spans="2:22" x14ac:dyDescent="0.25">
      <c r="F15" s="44" t="s">
        <v>20</v>
      </c>
      <c r="H15" s="40">
        <v>8</v>
      </c>
      <c r="I15" s="45">
        <f t="shared" ca="1" si="3"/>
        <v>45999</v>
      </c>
      <c r="J15" s="45">
        <f t="shared" ca="1" si="1"/>
        <v>46005</v>
      </c>
      <c r="K15" s="40" t="str">
        <f t="array" aca="1" ref="K15" ca="1">IFERROR(DAY(I15)&amp;" "&amp;INDEX($F$8:$F$19,MONTH(I15))&amp;" - "&amp;DAY(J15)&amp;" "&amp;INDEX($F$8:$F$19,MONTH(J15)),"")</f>
        <v>8 Dec - 14 Dec</v>
      </c>
      <c r="M15" s="40" t="str">
        <f>IFERROR(IF(Menu!C17="","",Menu!C17),"")</f>
        <v>Financial Health</v>
      </c>
      <c r="N15" s="40" t="str">
        <f>IFERROR(IF(Menu!D17="","",Menu!D17),"")</f>
        <v>Cash Flow</v>
      </c>
      <c r="O15" s="40" t="str">
        <f>IFERROR(IF(Menu!F17="","",Menu!F17),"")</f>
        <v>Sum</v>
      </c>
      <c r="P15" s="40" t="str">
        <f>IFERROR(IF(Menu!G17="","",Menu!G17),"")</f>
        <v>Higher</v>
      </c>
      <c r="Q15" s="46">
        <f t="shared" si="4"/>
        <v>22</v>
      </c>
      <c r="R15" s="46">
        <f t="shared" si="5"/>
        <v>23</v>
      </c>
      <c r="S15" s="46">
        <f ca="1">IFERROR(IF(N15="","",IF(O15=$B$9,AVERAGE(OFFSET(Report!$C$9,0,Calc!Q15,10.1)),SUM(OFFSET(Report!$C$9,0,Calc!Q15,10.1)))),"")</f>
        <v>50000</v>
      </c>
      <c r="T15" s="46">
        <f ca="1">IFERROR(IF(N15="","",IF(O15=$B$9,AVERAGE(OFFSET(Report!$C$9,0,Calc!R15,10.1)),SUM(OFFSET(Report!$C$9,0,Calc!R15,10.1)))),"")</f>
        <v>43000</v>
      </c>
      <c r="U15" s="46">
        <f t="shared" ca="1" si="0"/>
        <v>86</v>
      </c>
      <c r="V15" s="46">
        <f t="shared" ca="1" si="2"/>
        <v>14</v>
      </c>
    </row>
    <row r="16" spans="2:22" x14ac:dyDescent="0.25">
      <c r="F16" s="44" t="s">
        <v>21</v>
      </c>
      <c r="H16" s="40">
        <v>9</v>
      </c>
      <c r="I16" s="45">
        <f t="shared" ca="1" si="3"/>
        <v>46006</v>
      </c>
      <c r="J16" s="45">
        <f t="shared" ca="1" si="1"/>
        <v>46012</v>
      </c>
      <c r="K16" s="40" t="str">
        <f t="array" aca="1" ref="K16" ca="1">IFERROR(DAY(I16)&amp;" "&amp;INDEX($F$8:$F$19,MONTH(I16))&amp;" - "&amp;DAY(J16)&amp;" "&amp;INDEX($F$8:$F$19,MONTH(J16)),"")</f>
        <v>15 Dec - 21 Dec</v>
      </c>
      <c r="M16" s="40" t="str">
        <f>IFERROR(IF(Menu!C18="","",Menu!C18),"")</f>
        <v>Operational Efficiency</v>
      </c>
      <c r="N16" s="40" t="str">
        <f>IFERROR(IF(Menu!D18="","",Menu!D18),"")</f>
        <v>Average Order Value (AOV)</v>
      </c>
      <c r="O16" s="40" t="str">
        <f>IFERROR(IF(Menu!F18="","",Menu!F18),"")</f>
        <v>Average</v>
      </c>
      <c r="P16" s="40" t="str">
        <f>IFERROR(IF(Menu!G18="","",Menu!G18),"")</f>
        <v>Higher</v>
      </c>
      <c r="Q16" s="46">
        <f t="shared" si="4"/>
        <v>25</v>
      </c>
      <c r="R16" s="46">
        <f t="shared" si="5"/>
        <v>26</v>
      </c>
      <c r="S16" s="46">
        <f ca="1">IFERROR(IF(N16="","",IF(O16=$B$9,AVERAGE(OFFSET(Report!$C$9,0,Calc!Q16,10.1)),SUM(OFFSET(Report!$C$9,0,Calc!Q16,10.1)))),"")</f>
        <v>200</v>
      </c>
      <c r="T16" s="46">
        <f ca="1">IFERROR(IF(N16="","",IF(O16=$B$9,AVERAGE(OFFSET(Report!$C$9,0,Calc!R16,10.1)),SUM(OFFSET(Report!$C$9,0,Calc!R16,10.1)))),"")</f>
        <v>185</v>
      </c>
      <c r="U16" s="46">
        <f t="shared" ca="1" si="0"/>
        <v>92.5</v>
      </c>
      <c r="V16" s="46">
        <f t="shared" ca="1" si="2"/>
        <v>7.5</v>
      </c>
    </row>
    <row r="17" spans="6:22" x14ac:dyDescent="0.25">
      <c r="F17" s="44" t="s">
        <v>23</v>
      </c>
      <c r="H17" s="40">
        <v>10</v>
      </c>
      <c r="I17" s="45">
        <f t="shared" ca="1" si="3"/>
        <v>46013</v>
      </c>
      <c r="J17" s="45">
        <f t="shared" ca="1" si="1"/>
        <v>46019</v>
      </c>
      <c r="K17" s="40" t="str">
        <f t="array" aca="1" ref="K17" ca="1">IFERROR(DAY(I17)&amp;" "&amp;INDEX($F$8:$F$19,MONTH(I17))&amp;" - "&amp;DAY(J17)&amp;" "&amp;INDEX($F$8:$F$19,MONTH(J17)),"")</f>
        <v>22 Dec - 28 Dec</v>
      </c>
      <c r="M17" s="40" t="str">
        <f>IFERROR(IF(Menu!C19="","",Menu!C19),"")</f>
        <v>Operational Efficiency</v>
      </c>
      <c r="N17" s="40" t="str">
        <f>IFERROR(IF(Menu!D19="","",Menu!D19),"")</f>
        <v>Employee Productivity</v>
      </c>
      <c r="O17" s="40" t="str">
        <f>IFERROR(IF(Menu!F19="","",Menu!F19),"")</f>
        <v>Average</v>
      </c>
      <c r="P17" s="40" t="str">
        <f>IFERROR(IF(Menu!G19="","",Menu!G19),"")</f>
        <v>Higher</v>
      </c>
      <c r="Q17" s="46">
        <f t="shared" si="4"/>
        <v>28</v>
      </c>
      <c r="R17" s="46">
        <f t="shared" si="5"/>
        <v>29</v>
      </c>
      <c r="S17" s="46">
        <f ca="1">IFERROR(IF(N17="","",IF(O17=$B$9,AVERAGE(OFFSET(Report!$C$9,0,Calc!Q17,10.1)),SUM(OFFSET(Report!$C$9,0,Calc!Q17,10.1)))),"")</f>
        <v>90</v>
      </c>
      <c r="T17" s="46">
        <f ca="1">IFERROR(IF(N17="","",IF(O17=$B$9,AVERAGE(OFFSET(Report!$C$9,0,Calc!R17,10.1)),SUM(OFFSET(Report!$C$9,0,Calc!R17,10.1)))),"")</f>
        <v>75.5</v>
      </c>
      <c r="U17" s="46">
        <f t="shared" ca="1" si="0"/>
        <v>83.888888888888886</v>
      </c>
      <c r="V17" s="46">
        <f t="shared" ca="1" si="2"/>
        <v>16.111111111111114</v>
      </c>
    </row>
    <row r="18" spans="6:22" x14ac:dyDescent="0.25">
      <c r="F18" s="44" t="s">
        <v>22</v>
      </c>
      <c r="H18" s="40">
        <v>11</v>
      </c>
      <c r="I18" s="45">
        <f t="shared" ca="1" si="3"/>
        <v>46020</v>
      </c>
      <c r="J18" s="45">
        <f t="shared" ca="1" si="1"/>
        <v>46026</v>
      </c>
      <c r="K18" s="40" t="str">
        <f t="array" aca="1" ref="K18" ca="1">IFERROR(DAY(I18)&amp;" "&amp;INDEX($F$8:$F$19,MONTH(I18))&amp;" - "&amp;DAY(J18)&amp;" "&amp;INDEX($F$8:$F$19,MONTH(J18)),"")</f>
        <v>29 Dec - 4 Jan</v>
      </c>
      <c r="M18" s="47"/>
      <c r="N18" s="47"/>
      <c r="O18" s="47"/>
      <c r="P18" s="47"/>
      <c r="Q18" s="48"/>
      <c r="R18" s="48"/>
      <c r="S18" s="48"/>
      <c r="T18" s="48"/>
      <c r="U18" s="48"/>
      <c r="V18" s="48"/>
    </row>
    <row r="19" spans="6:22" x14ac:dyDescent="0.25">
      <c r="F19" s="44" t="s">
        <v>24</v>
      </c>
      <c r="H19" s="40">
        <v>12</v>
      </c>
      <c r="I19" s="45">
        <f t="shared" ca="1" si="3"/>
        <v>46027</v>
      </c>
      <c r="J19" s="45">
        <f t="shared" ca="1" si="1"/>
        <v>46033</v>
      </c>
      <c r="K19" s="40" t="str">
        <f t="array" aca="1" ref="K19" ca="1">IFERROR(DAY(I19)&amp;" "&amp;INDEX($F$8:$F$19,MONTH(I19))&amp;" - "&amp;DAY(J19)&amp;" "&amp;INDEX($F$8:$F$19,MONTH(J19)),"")</f>
        <v>5 Jan - 11 Jan</v>
      </c>
      <c r="N19" s="40" t="s">
        <v>30</v>
      </c>
      <c r="O19" s="40">
        <f>IFERROR(MAX(COUNTIF(N8:N17,"?*"),1),"")</f>
        <v>10</v>
      </c>
      <c r="Q19" s="49"/>
      <c r="R19" s="49"/>
      <c r="S19" s="49"/>
      <c r="T19" s="49"/>
      <c r="U19" s="49"/>
      <c r="V19" s="49"/>
    </row>
    <row r="20" spans="6:22" x14ac:dyDescent="0.25">
      <c r="H20" s="40">
        <v>13</v>
      </c>
      <c r="I20" s="45">
        <f t="shared" ca="1" si="3"/>
        <v>46034</v>
      </c>
      <c r="J20" s="45">
        <f t="shared" ca="1" si="1"/>
        <v>46040</v>
      </c>
      <c r="K20" s="40" t="str">
        <f t="array" aca="1" ref="K20" ca="1">IFERROR(DAY(I20)&amp;" "&amp;INDEX($F$8:$F$19,MONTH(I20))&amp;" - "&amp;DAY(J20)&amp;" "&amp;INDEX($F$8:$F$19,MONTH(J20)),"")</f>
        <v>12 Jan - 18 Jan</v>
      </c>
      <c r="Q20" s="49"/>
      <c r="R20" s="49"/>
      <c r="S20" s="49"/>
      <c r="T20" s="49"/>
      <c r="U20" s="49"/>
      <c r="V20" s="49"/>
    </row>
    <row r="21" spans="6:22" x14ac:dyDescent="0.25">
      <c r="H21" s="40">
        <v>14</v>
      </c>
      <c r="I21" s="45">
        <f t="shared" ca="1" si="3"/>
        <v>46041</v>
      </c>
      <c r="J21" s="45">
        <f t="shared" ca="1" si="1"/>
        <v>46047</v>
      </c>
      <c r="K21" s="40" t="str">
        <f t="array" aca="1" ref="K21" ca="1">IFERROR(DAY(I21)&amp;" "&amp;INDEX($F$8:$F$19,MONTH(I21))&amp;" - "&amp;DAY(J21)&amp;" "&amp;INDEX($F$8:$F$19,MONTH(J21)),"")</f>
        <v>19 Jan - 25 Jan</v>
      </c>
      <c r="Q21" s="49"/>
      <c r="R21" s="49"/>
      <c r="S21" s="49"/>
      <c r="T21" s="49"/>
      <c r="U21" s="49"/>
      <c r="V21" s="49"/>
    </row>
    <row r="22" spans="6:22" x14ac:dyDescent="0.25">
      <c r="H22" s="40">
        <v>15</v>
      </c>
      <c r="I22" s="45">
        <f t="shared" ca="1" si="3"/>
        <v>46048</v>
      </c>
      <c r="J22" s="45">
        <f t="shared" ca="1" si="1"/>
        <v>46054</v>
      </c>
      <c r="K22" s="40" t="str">
        <f t="array" aca="1" ref="K22" ca="1">IFERROR(DAY(I22)&amp;" "&amp;INDEX($F$8:$F$19,MONTH(I22))&amp;" - "&amp;DAY(J22)&amp;" "&amp;INDEX($F$8:$F$19,MONTH(J22)),"")</f>
        <v>26 Jan - 1 Feb</v>
      </c>
      <c r="Q22" s="49"/>
      <c r="R22" s="49"/>
      <c r="S22" s="49"/>
      <c r="T22" s="49"/>
      <c r="U22" s="49"/>
      <c r="V22" s="49"/>
    </row>
    <row r="23" spans="6:22" x14ac:dyDescent="0.25">
      <c r="H23" s="40">
        <v>16</v>
      </c>
      <c r="I23" s="45">
        <f t="shared" ca="1" si="3"/>
        <v>46055</v>
      </c>
      <c r="J23" s="45">
        <f t="shared" ca="1" si="1"/>
        <v>46061</v>
      </c>
      <c r="K23" s="40" t="str">
        <f t="array" aca="1" ref="K23" ca="1">IFERROR(DAY(I23)&amp;" "&amp;INDEX($F$8:$F$19,MONTH(I23))&amp;" - "&amp;DAY(J23)&amp;" "&amp;INDEX($F$8:$F$19,MONTH(J23)),"")</f>
        <v>2 Feb - 8 Feb</v>
      </c>
    </row>
    <row r="24" spans="6:22" x14ac:dyDescent="0.25">
      <c r="H24" s="40">
        <v>17</v>
      </c>
      <c r="I24" s="45">
        <f t="shared" ca="1" si="3"/>
        <v>46062</v>
      </c>
      <c r="J24" s="45">
        <f t="shared" ca="1" si="1"/>
        <v>46068</v>
      </c>
      <c r="K24" s="40" t="str">
        <f t="array" aca="1" ref="K24" ca="1">IFERROR(DAY(I24)&amp;" "&amp;INDEX($F$8:$F$19,MONTH(I24))&amp;" - "&amp;DAY(J24)&amp;" "&amp;INDEX($F$8:$F$19,MONTH(J24)),"")</f>
        <v>9 Feb - 15 Feb</v>
      </c>
    </row>
    <row r="25" spans="6:22" x14ac:dyDescent="0.25">
      <c r="H25" s="40">
        <v>18</v>
      </c>
      <c r="I25" s="45">
        <f t="shared" ca="1" si="3"/>
        <v>46069</v>
      </c>
      <c r="J25" s="45">
        <f t="shared" ca="1" si="1"/>
        <v>46075</v>
      </c>
      <c r="K25" s="40" t="str">
        <f t="array" aca="1" ref="K25" ca="1">IFERROR(DAY(I25)&amp;" "&amp;INDEX($F$8:$F$19,MONTH(I25))&amp;" - "&amp;DAY(J25)&amp;" "&amp;INDEX($F$8:$F$19,MONTH(J25)),"")</f>
        <v>16 Feb - 22 Feb</v>
      </c>
    </row>
    <row r="26" spans="6:22" x14ac:dyDescent="0.25">
      <c r="H26" s="40">
        <v>19</v>
      </c>
      <c r="I26" s="45">
        <f t="shared" ca="1" si="3"/>
        <v>46076</v>
      </c>
      <c r="J26" s="45">
        <f t="shared" ca="1" si="1"/>
        <v>46082</v>
      </c>
      <c r="K26" s="40" t="str">
        <f t="array" aca="1" ref="K26" ca="1">IFERROR(DAY(I26)&amp;" "&amp;INDEX($F$8:$F$19,MONTH(I26))&amp;" - "&amp;DAY(J26)&amp;" "&amp;INDEX($F$8:$F$19,MONTH(J26)),"")</f>
        <v>23 Feb - 1 Mar</v>
      </c>
    </row>
    <row r="27" spans="6:22" x14ac:dyDescent="0.25">
      <c r="H27" s="40">
        <v>20</v>
      </c>
      <c r="I27" s="45">
        <f t="shared" ca="1" si="3"/>
        <v>46083</v>
      </c>
      <c r="J27" s="45">
        <f t="shared" ca="1" si="1"/>
        <v>46089</v>
      </c>
      <c r="K27" s="40" t="str">
        <f t="array" aca="1" ref="K27" ca="1">IFERROR(DAY(I27)&amp;" "&amp;INDEX($F$8:$F$19,MONTH(I27))&amp;" - "&amp;DAY(J27)&amp;" "&amp;INDEX($F$8:$F$19,MONTH(J27)),"")</f>
        <v>2 Mar - 8 Mar</v>
      </c>
    </row>
    <row r="28" spans="6:22" x14ac:dyDescent="0.25">
      <c r="H28" s="40">
        <v>21</v>
      </c>
      <c r="I28" s="45">
        <f t="shared" ca="1" si="3"/>
        <v>46090</v>
      </c>
      <c r="J28" s="45">
        <f t="shared" ca="1" si="1"/>
        <v>46096</v>
      </c>
      <c r="K28" s="40" t="str">
        <f t="array" aca="1" ref="K28" ca="1">IFERROR(DAY(I28)&amp;" "&amp;INDEX($F$8:$F$19,MONTH(I28))&amp;" - "&amp;DAY(J28)&amp;" "&amp;INDEX($F$8:$F$19,MONTH(J28)),"")</f>
        <v>9 Mar - 15 Mar</v>
      </c>
    </row>
    <row r="29" spans="6:22" x14ac:dyDescent="0.25">
      <c r="H29" s="40">
        <v>22</v>
      </c>
      <c r="I29" s="45">
        <f t="shared" ca="1" si="3"/>
        <v>46097</v>
      </c>
      <c r="J29" s="45">
        <f t="shared" ca="1" si="1"/>
        <v>46103</v>
      </c>
      <c r="K29" s="40" t="str">
        <f t="array" aca="1" ref="K29" ca="1">IFERROR(DAY(I29)&amp;" "&amp;INDEX($F$8:$F$19,MONTH(I29))&amp;" - "&amp;DAY(J29)&amp;" "&amp;INDEX($F$8:$F$19,MONTH(J29)),"")</f>
        <v>16 Mar - 22 Mar</v>
      </c>
    </row>
    <row r="30" spans="6:22" x14ac:dyDescent="0.25">
      <c r="H30" s="40">
        <v>23</v>
      </c>
      <c r="I30" s="45">
        <f t="shared" ca="1" si="3"/>
        <v>46104</v>
      </c>
      <c r="J30" s="45">
        <f t="shared" ca="1" si="1"/>
        <v>46110</v>
      </c>
      <c r="K30" s="40" t="str">
        <f t="array" aca="1" ref="K30" ca="1">IFERROR(DAY(I30)&amp;" "&amp;INDEX($F$8:$F$19,MONTH(I30))&amp;" - "&amp;DAY(J30)&amp;" "&amp;INDEX($F$8:$F$19,MONTH(J30)),"")</f>
        <v>23 Mar - 29 Mar</v>
      </c>
    </row>
    <row r="31" spans="6:22" x14ac:dyDescent="0.25">
      <c r="H31" s="40">
        <v>24</v>
      </c>
      <c r="I31" s="45">
        <f t="shared" ca="1" si="3"/>
        <v>46111</v>
      </c>
      <c r="J31" s="45">
        <f t="shared" ca="1" si="1"/>
        <v>46117</v>
      </c>
      <c r="K31" s="40" t="str">
        <f t="array" aca="1" ref="K31" ca="1">IFERROR(DAY(I31)&amp;" "&amp;INDEX($F$8:$F$19,MONTH(I31))&amp;" - "&amp;DAY(J31)&amp;" "&amp;INDEX($F$8:$F$19,MONTH(J31)),"")</f>
        <v>30 Mar - 5 Apr</v>
      </c>
    </row>
    <row r="32" spans="6:22" x14ac:dyDescent="0.25">
      <c r="H32" s="40">
        <v>25</v>
      </c>
      <c r="I32" s="45">
        <f t="shared" ca="1" si="3"/>
        <v>46118</v>
      </c>
      <c r="J32" s="45">
        <f t="shared" ca="1" si="1"/>
        <v>46124</v>
      </c>
      <c r="K32" s="40" t="str">
        <f t="array" aca="1" ref="K32" ca="1">IFERROR(DAY(I32)&amp;" "&amp;INDEX($F$8:$F$19,MONTH(I32))&amp;" - "&amp;DAY(J32)&amp;" "&amp;INDEX($F$8:$F$19,MONTH(J32)),"")</f>
        <v>6 Apr - 12 Apr</v>
      </c>
    </row>
    <row r="33" spans="8:11" x14ac:dyDescent="0.25">
      <c r="H33" s="40">
        <v>26</v>
      </c>
      <c r="I33" s="45">
        <f t="shared" ca="1" si="3"/>
        <v>46125</v>
      </c>
      <c r="J33" s="45">
        <f t="shared" ca="1" si="1"/>
        <v>46131</v>
      </c>
      <c r="K33" s="40" t="str">
        <f t="array" aca="1" ref="K33" ca="1">IFERROR(DAY(I33)&amp;" "&amp;INDEX($F$8:$F$19,MONTH(I33))&amp;" - "&amp;DAY(J33)&amp;" "&amp;INDEX($F$8:$F$19,MONTH(J33)),"")</f>
        <v>13 Apr - 19 Apr</v>
      </c>
    </row>
    <row r="34" spans="8:11" x14ac:dyDescent="0.25">
      <c r="H34" s="40">
        <v>27</v>
      </c>
      <c r="I34" s="45">
        <f t="shared" ca="1" si="3"/>
        <v>46132</v>
      </c>
      <c r="J34" s="45">
        <f t="shared" ca="1" si="1"/>
        <v>46138</v>
      </c>
      <c r="K34" s="40" t="str">
        <f t="array" aca="1" ref="K34" ca="1">IFERROR(DAY(I34)&amp;" "&amp;INDEX($F$8:$F$19,MONTH(I34))&amp;" - "&amp;DAY(J34)&amp;" "&amp;INDEX($F$8:$F$19,MONTH(J34)),"")</f>
        <v>20 Apr - 26 Apr</v>
      </c>
    </row>
    <row r="35" spans="8:11" x14ac:dyDescent="0.25">
      <c r="H35" s="40">
        <v>28</v>
      </c>
      <c r="I35" s="45">
        <f t="shared" ca="1" si="3"/>
        <v>46139</v>
      </c>
      <c r="J35" s="45">
        <f t="shared" ca="1" si="1"/>
        <v>46145</v>
      </c>
      <c r="K35" s="40" t="str">
        <f t="array" aca="1" ref="K35" ca="1">IFERROR(DAY(I35)&amp;" "&amp;INDEX($F$8:$F$19,MONTH(I35))&amp;" - "&amp;DAY(J35)&amp;" "&amp;INDEX($F$8:$F$19,MONTH(J35)),"")</f>
        <v>27 Apr - 3 May</v>
      </c>
    </row>
    <row r="36" spans="8:11" x14ac:dyDescent="0.25">
      <c r="H36" s="40">
        <v>29</v>
      </c>
      <c r="I36" s="45">
        <f t="shared" ca="1" si="3"/>
        <v>46146</v>
      </c>
      <c r="J36" s="45">
        <f t="shared" ca="1" si="1"/>
        <v>46152</v>
      </c>
      <c r="K36" s="40" t="str">
        <f t="array" aca="1" ref="K36" ca="1">IFERROR(DAY(I36)&amp;" "&amp;INDEX($F$8:$F$19,MONTH(I36))&amp;" - "&amp;DAY(J36)&amp;" "&amp;INDEX($F$8:$F$19,MONTH(J36)),"")</f>
        <v>4 May - 10 May</v>
      </c>
    </row>
    <row r="37" spans="8:11" x14ac:dyDescent="0.25">
      <c r="H37" s="40">
        <v>30</v>
      </c>
      <c r="I37" s="45">
        <f t="shared" ca="1" si="3"/>
        <v>46153</v>
      </c>
      <c r="J37" s="45">
        <f t="shared" ca="1" si="1"/>
        <v>46159</v>
      </c>
      <c r="K37" s="40" t="str">
        <f t="array" aca="1" ref="K37" ca="1">IFERROR(DAY(I37)&amp;" "&amp;INDEX($F$8:$F$19,MONTH(I37))&amp;" - "&amp;DAY(J37)&amp;" "&amp;INDEX($F$8:$F$19,MONTH(J37)),"")</f>
        <v>11 May - 17 May</v>
      </c>
    </row>
    <row r="38" spans="8:11" x14ac:dyDescent="0.25">
      <c r="H38" s="40">
        <v>31</v>
      </c>
      <c r="I38" s="45">
        <f t="shared" ca="1" si="3"/>
        <v>46160</v>
      </c>
      <c r="J38" s="45">
        <f t="shared" ca="1" si="1"/>
        <v>46166</v>
      </c>
      <c r="K38" s="40" t="str">
        <f t="array" aca="1" ref="K38" ca="1">IFERROR(DAY(I38)&amp;" "&amp;INDEX($F$8:$F$19,MONTH(I38))&amp;" - "&amp;DAY(J38)&amp;" "&amp;INDEX($F$8:$F$19,MONTH(J38)),"")</f>
        <v>18 May - 24 May</v>
      </c>
    </row>
    <row r="39" spans="8:11" x14ac:dyDescent="0.25">
      <c r="H39" s="40">
        <v>32</v>
      </c>
      <c r="I39" s="45">
        <f t="shared" ca="1" si="3"/>
        <v>46167</v>
      </c>
      <c r="J39" s="45">
        <f t="shared" ca="1" si="1"/>
        <v>46173</v>
      </c>
      <c r="K39" s="40" t="str">
        <f t="array" aca="1" ref="K39" ca="1">IFERROR(DAY(I39)&amp;" "&amp;INDEX($F$8:$F$19,MONTH(I39))&amp;" - "&amp;DAY(J39)&amp;" "&amp;INDEX($F$8:$F$19,MONTH(J39)),"")</f>
        <v>25 May - 31 May</v>
      </c>
    </row>
    <row r="40" spans="8:11" x14ac:dyDescent="0.25">
      <c r="H40" s="40">
        <v>33</v>
      </c>
      <c r="I40" s="45">
        <f t="shared" ca="1" si="3"/>
        <v>46174</v>
      </c>
      <c r="J40" s="45">
        <f t="shared" ca="1" si="1"/>
        <v>46180</v>
      </c>
      <c r="K40" s="40" t="str">
        <f t="array" aca="1" ref="K40" ca="1">IFERROR(DAY(I40)&amp;" "&amp;INDEX($F$8:$F$19,MONTH(I40))&amp;" - "&amp;DAY(J40)&amp;" "&amp;INDEX($F$8:$F$19,MONTH(J40)),"")</f>
        <v>1 Jun - 7 Jun</v>
      </c>
    </row>
    <row r="41" spans="8:11" x14ac:dyDescent="0.25">
      <c r="H41" s="40">
        <v>34</v>
      </c>
      <c r="I41" s="45">
        <f t="shared" ca="1" si="3"/>
        <v>46181</v>
      </c>
      <c r="J41" s="45">
        <f t="shared" ca="1" si="1"/>
        <v>46187</v>
      </c>
      <c r="K41" s="40" t="str">
        <f t="array" aca="1" ref="K41" ca="1">IFERROR(DAY(I41)&amp;" "&amp;INDEX($F$8:$F$19,MONTH(I41))&amp;" - "&amp;DAY(J41)&amp;" "&amp;INDEX($F$8:$F$19,MONTH(J41)),"")</f>
        <v>8 Jun - 14 Jun</v>
      </c>
    </row>
    <row r="42" spans="8:11" x14ac:dyDescent="0.25">
      <c r="H42" s="40">
        <v>35</v>
      </c>
      <c r="I42" s="45">
        <f t="shared" ca="1" si="3"/>
        <v>46188</v>
      </c>
      <c r="J42" s="45">
        <f t="shared" ca="1" si="1"/>
        <v>46194</v>
      </c>
      <c r="K42" s="40" t="str">
        <f t="array" aca="1" ref="K42" ca="1">IFERROR(DAY(I42)&amp;" "&amp;INDEX($F$8:$F$19,MONTH(I42))&amp;" - "&amp;DAY(J42)&amp;" "&amp;INDEX($F$8:$F$19,MONTH(J42)),"")</f>
        <v>15 Jun - 21 Jun</v>
      </c>
    </row>
    <row r="43" spans="8:11" x14ac:dyDescent="0.25">
      <c r="H43" s="40">
        <v>36</v>
      </c>
      <c r="I43" s="45">
        <f t="shared" ca="1" si="3"/>
        <v>46195</v>
      </c>
      <c r="J43" s="45">
        <f t="shared" ca="1" si="1"/>
        <v>46201</v>
      </c>
      <c r="K43" s="40" t="str">
        <f t="array" aca="1" ref="K43" ca="1">IFERROR(DAY(I43)&amp;" "&amp;INDEX($F$8:$F$19,MONTH(I43))&amp;" - "&amp;DAY(J43)&amp;" "&amp;INDEX($F$8:$F$19,MONTH(J43)),"")</f>
        <v>22 Jun - 28 Jun</v>
      </c>
    </row>
    <row r="44" spans="8:11" x14ac:dyDescent="0.25">
      <c r="H44" s="40">
        <v>37</v>
      </c>
      <c r="I44" s="45">
        <f t="shared" ca="1" si="3"/>
        <v>46202</v>
      </c>
      <c r="J44" s="45">
        <f t="shared" ca="1" si="1"/>
        <v>46208</v>
      </c>
      <c r="K44" s="40" t="str">
        <f t="array" aca="1" ref="K44" ca="1">IFERROR(DAY(I44)&amp;" "&amp;INDEX($F$8:$F$19,MONTH(I44))&amp;" - "&amp;DAY(J44)&amp;" "&amp;INDEX($F$8:$F$19,MONTH(J44)),"")</f>
        <v>29 Jun - 5 Jul</v>
      </c>
    </row>
    <row r="45" spans="8:11" x14ac:dyDescent="0.25">
      <c r="H45" s="40">
        <v>38</v>
      </c>
      <c r="I45" s="45">
        <f t="shared" ca="1" si="3"/>
        <v>46209</v>
      </c>
      <c r="J45" s="45">
        <f t="shared" ca="1" si="1"/>
        <v>46215</v>
      </c>
      <c r="K45" s="40" t="str">
        <f t="array" aca="1" ref="K45" ca="1">IFERROR(DAY(I45)&amp;" "&amp;INDEX($F$8:$F$19,MONTH(I45))&amp;" - "&amp;DAY(J45)&amp;" "&amp;INDEX($F$8:$F$19,MONTH(J45)),"")</f>
        <v>6 Jul - 12 Jul</v>
      </c>
    </row>
    <row r="46" spans="8:11" x14ac:dyDescent="0.25">
      <c r="H46" s="40">
        <v>39</v>
      </c>
      <c r="I46" s="45">
        <f t="shared" ca="1" si="3"/>
        <v>46216</v>
      </c>
      <c r="J46" s="45">
        <f t="shared" ca="1" si="1"/>
        <v>46222</v>
      </c>
      <c r="K46" s="40" t="str">
        <f t="array" aca="1" ref="K46" ca="1">IFERROR(DAY(I46)&amp;" "&amp;INDEX($F$8:$F$19,MONTH(I46))&amp;" - "&amp;DAY(J46)&amp;" "&amp;INDEX($F$8:$F$19,MONTH(J46)),"")</f>
        <v>13 Jul - 19 Jul</v>
      </c>
    </row>
    <row r="47" spans="8:11" x14ac:dyDescent="0.25">
      <c r="H47" s="40">
        <v>40</v>
      </c>
      <c r="I47" s="45">
        <f t="shared" ca="1" si="3"/>
        <v>46223</v>
      </c>
      <c r="J47" s="45">
        <f t="shared" ca="1" si="1"/>
        <v>46229</v>
      </c>
      <c r="K47" s="40" t="str">
        <f t="array" aca="1" ref="K47" ca="1">IFERROR(DAY(I47)&amp;" "&amp;INDEX($F$8:$F$19,MONTH(I47))&amp;" - "&amp;DAY(J47)&amp;" "&amp;INDEX($F$8:$F$19,MONTH(J47)),"")</f>
        <v>20 Jul - 26 Jul</v>
      </c>
    </row>
    <row r="48" spans="8:11" x14ac:dyDescent="0.25">
      <c r="H48" s="40">
        <v>41</v>
      </c>
      <c r="I48" s="45">
        <f t="shared" ca="1" si="3"/>
        <v>46230</v>
      </c>
      <c r="J48" s="45">
        <f t="shared" ca="1" si="1"/>
        <v>46236</v>
      </c>
      <c r="K48" s="40" t="str">
        <f t="array" aca="1" ref="K48" ca="1">IFERROR(DAY(I48)&amp;" "&amp;INDEX($F$8:$F$19,MONTH(I48))&amp;" - "&amp;DAY(J48)&amp;" "&amp;INDEX($F$8:$F$19,MONTH(J48)),"")</f>
        <v>27 Jul - 2 Aug</v>
      </c>
    </row>
    <row r="49" spans="8:11" x14ac:dyDescent="0.25">
      <c r="H49" s="40">
        <v>42</v>
      </c>
      <c r="I49" s="45">
        <f t="shared" ca="1" si="3"/>
        <v>46237</v>
      </c>
      <c r="J49" s="45">
        <f t="shared" ca="1" si="1"/>
        <v>46243</v>
      </c>
      <c r="K49" s="40" t="str">
        <f t="array" aca="1" ref="K49" ca="1">IFERROR(DAY(I49)&amp;" "&amp;INDEX($F$8:$F$19,MONTH(I49))&amp;" - "&amp;DAY(J49)&amp;" "&amp;INDEX($F$8:$F$19,MONTH(J49)),"")</f>
        <v>3 Aug - 9 Aug</v>
      </c>
    </row>
    <row r="50" spans="8:11" x14ac:dyDescent="0.25">
      <c r="H50" s="40">
        <v>43</v>
      </c>
      <c r="I50" s="45">
        <f t="shared" ca="1" si="3"/>
        <v>46244</v>
      </c>
      <c r="J50" s="45">
        <f t="shared" ca="1" si="1"/>
        <v>46250</v>
      </c>
      <c r="K50" s="40" t="str">
        <f t="array" aca="1" ref="K50" ca="1">IFERROR(DAY(I50)&amp;" "&amp;INDEX($F$8:$F$19,MONTH(I50))&amp;" - "&amp;DAY(J50)&amp;" "&amp;INDEX($F$8:$F$19,MONTH(J50)),"")</f>
        <v>10 Aug - 16 Aug</v>
      </c>
    </row>
    <row r="51" spans="8:11" x14ac:dyDescent="0.25">
      <c r="H51" s="40">
        <v>44</v>
      </c>
      <c r="I51" s="45">
        <f t="shared" ca="1" si="3"/>
        <v>46251</v>
      </c>
      <c r="J51" s="45">
        <f t="shared" ca="1" si="1"/>
        <v>46257</v>
      </c>
      <c r="K51" s="40" t="str">
        <f t="array" aca="1" ref="K51" ca="1">IFERROR(DAY(I51)&amp;" "&amp;INDEX($F$8:$F$19,MONTH(I51))&amp;" - "&amp;DAY(J51)&amp;" "&amp;INDEX($F$8:$F$19,MONTH(J51)),"")</f>
        <v>17 Aug - 23 Aug</v>
      </c>
    </row>
    <row r="52" spans="8:11" x14ac:dyDescent="0.25">
      <c r="H52" s="40">
        <v>45</v>
      </c>
      <c r="I52" s="45">
        <f t="shared" ca="1" si="3"/>
        <v>46258</v>
      </c>
      <c r="J52" s="45">
        <f t="shared" ca="1" si="1"/>
        <v>46264</v>
      </c>
      <c r="K52" s="40" t="str">
        <f t="array" aca="1" ref="K52" ca="1">IFERROR(DAY(I52)&amp;" "&amp;INDEX($F$8:$F$19,MONTH(I52))&amp;" - "&amp;DAY(J52)&amp;" "&amp;INDEX($F$8:$F$19,MONTH(J52)),"")</f>
        <v>24 Aug - 30 Aug</v>
      </c>
    </row>
    <row r="53" spans="8:11" x14ac:dyDescent="0.25">
      <c r="H53" s="40">
        <v>46</v>
      </c>
      <c r="I53" s="45">
        <f t="shared" ca="1" si="3"/>
        <v>46265</v>
      </c>
      <c r="J53" s="45">
        <f t="shared" ca="1" si="1"/>
        <v>46271</v>
      </c>
      <c r="K53" s="40" t="str">
        <f t="array" aca="1" ref="K53" ca="1">IFERROR(DAY(I53)&amp;" "&amp;INDEX($F$8:$F$19,MONTH(I53))&amp;" - "&amp;DAY(J53)&amp;" "&amp;INDEX($F$8:$F$19,MONTH(J53)),"")</f>
        <v>31 Aug - 6 Sep</v>
      </c>
    </row>
    <row r="54" spans="8:11" x14ac:dyDescent="0.25">
      <c r="H54" s="40">
        <v>47</v>
      </c>
      <c r="I54" s="45">
        <f t="shared" ca="1" si="3"/>
        <v>46272</v>
      </c>
      <c r="J54" s="45">
        <f t="shared" ca="1" si="1"/>
        <v>46278</v>
      </c>
      <c r="K54" s="40" t="str">
        <f t="array" aca="1" ref="K54" ca="1">IFERROR(DAY(I54)&amp;" "&amp;INDEX($F$8:$F$19,MONTH(I54))&amp;" - "&amp;DAY(J54)&amp;" "&amp;INDEX($F$8:$F$19,MONTH(J54)),"")</f>
        <v>7 Sep - 13 Sep</v>
      </c>
    </row>
    <row r="55" spans="8:11" x14ac:dyDescent="0.25">
      <c r="H55" s="40">
        <v>48</v>
      </c>
      <c r="I55" s="45">
        <f t="shared" ca="1" si="3"/>
        <v>46279</v>
      </c>
      <c r="J55" s="45">
        <f t="shared" ca="1" si="1"/>
        <v>46285</v>
      </c>
      <c r="K55" s="40" t="str">
        <f t="array" aca="1" ref="K55" ca="1">IFERROR(DAY(I55)&amp;" "&amp;INDEX($F$8:$F$19,MONTH(I55))&amp;" - "&amp;DAY(J55)&amp;" "&amp;INDEX($F$8:$F$19,MONTH(J55)),"")</f>
        <v>14 Sep - 20 Sep</v>
      </c>
    </row>
    <row r="56" spans="8:11" x14ac:dyDescent="0.25">
      <c r="H56" s="40">
        <v>49</v>
      </c>
      <c r="I56" s="45">
        <f t="shared" ca="1" si="3"/>
        <v>46286</v>
      </c>
      <c r="J56" s="45">
        <f t="shared" ca="1" si="1"/>
        <v>46292</v>
      </c>
      <c r="K56" s="40" t="str">
        <f t="array" aca="1" ref="K56" ca="1">IFERROR(DAY(I56)&amp;" "&amp;INDEX($F$8:$F$19,MONTH(I56))&amp;" - "&amp;DAY(J56)&amp;" "&amp;INDEX($F$8:$F$19,MONTH(J56)),"")</f>
        <v>21 Sep - 27 Sep</v>
      </c>
    </row>
    <row r="57" spans="8:11" x14ac:dyDescent="0.25">
      <c r="H57" s="40">
        <v>50</v>
      </c>
      <c r="I57" s="45">
        <f t="shared" ca="1" si="3"/>
        <v>46293</v>
      </c>
      <c r="J57" s="45">
        <f t="shared" ca="1" si="1"/>
        <v>46299</v>
      </c>
      <c r="K57" s="40" t="str">
        <f t="array" aca="1" ref="K57" ca="1">IFERROR(DAY(I57)&amp;" "&amp;INDEX($F$8:$F$19,MONTH(I57))&amp;" - "&amp;DAY(J57)&amp;" "&amp;INDEX($F$8:$F$19,MONTH(J57)),"")</f>
        <v>28 Sep - 4 Oct</v>
      </c>
    </row>
    <row r="58" spans="8:11" x14ac:dyDescent="0.25">
      <c r="H58" s="40">
        <v>51</v>
      </c>
      <c r="I58" s="45">
        <f t="shared" ca="1" si="3"/>
        <v>46300</v>
      </c>
      <c r="J58" s="45">
        <f t="shared" ca="1" si="1"/>
        <v>46306</v>
      </c>
      <c r="K58" s="40" t="str">
        <f t="array" aca="1" ref="K58" ca="1">IFERROR(DAY(I58)&amp;" "&amp;INDEX($F$8:$F$19,MONTH(I58))&amp;" - "&amp;DAY(J58)&amp;" "&amp;INDEX($F$8:$F$19,MONTH(J58)),"")</f>
        <v>5 Oct - 11 Oct</v>
      </c>
    </row>
    <row r="59" spans="8:11" x14ac:dyDescent="0.25">
      <c r="H59" s="40">
        <v>52</v>
      </c>
      <c r="I59" s="45">
        <f t="shared" ca="1" si="3"/>
        <v>46307</v>
      </c>
      <c r="J59" s="45">
        <f t="shared" ca="1" si="1"/>
        <v>46313</v>
      </c>
      <c r="K59" s="40" t="str">
        <f t="array" aca="1" ref="K59" ca="1">IFERROR(DAY(I59)&amp;" "&amp;INDEX($F$8:$F$19,MONTH(I59))&amp;" - "&amp;DAY(J59)&amp;" "&amp;INDEX($F$8:$F$19,MONTH(J59)),"")</f>
        <v>12 Oct - 18 Oct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Menu</vt:lpstr>
      <vt:lpstr>Report</vt:lpstr>
      <vt:lpstr>ToU</vt:lpstr>
      <vt:lpstr>Calc</vt:lpstr>
      <vt:lpstr>Menu!Print_Area</vt:lpstr>
      <vt:lpstr>Report!Print_Area</vt:lpstr>
      <vt:lpstr>ToU!Print_Area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Çağlan</dc:creator>
  <cp:lastModifiedBy>7360</cp:lastModifiedBy>
  <cp:lastPrinted>2025-10-20T11:42:22Z</cp:lastPrinted>
  <dcterms:created xsi:type="dcterms:W3CDTF">2025-07-25T12:51:04Z</dcterms:created>
  <dcterms:modified xsi:type="dcterms:W3CDTF">2025-10-20T16:04:54Z</dcterms:modified>
</cp:coreProperties>
</file>